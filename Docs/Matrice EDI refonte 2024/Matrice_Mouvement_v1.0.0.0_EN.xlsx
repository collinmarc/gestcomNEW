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c_dev_4\Documents\Documentation\Matrice EDI refonte 2024\"/>
    </mc:Choice>
  </mc:AlternateContent>
  <xr:revisionPtr revIDLastSave="0" documentId="13_ncr:1_{76F18332-F670-4832-A472-23CC61C19732}" xr6:coauthVersionLast="47" xr6:coauthVersionMax="47" xr10:uidLastSave="{00000000-0000-0000-0000-000000000000}"/>
  <bookViews>
    <workbookView xWindow="28680" yWindow="-165" windowWidth="29040" windowHeight="17640" xr2:uid="{4FE79A9C-E5AB-463A-8671-1A856C40CD9C}"/>
  </bookViews>
  <sheets>
    <sheet name="matrice" sheetId="1" r:id="rId1"/>
  </sheets>
  <definedNames>
    <definedName name="_xlnm.Print_Area" localSheetId="0">matrice!$A$2:$J$101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H19" i="1" s="1"/>
  <c r="I19" i="1" s="1"/>
  <c r="H20" i="1" s="1"/>
  <c r="I20" i="1" s="1"/>
  <c r="H21" i="1" s="1"/>
  <c r="I21" i="1" s="1"/>
  <c r="H22" i="1" s="1"/>
  <c r="I22" i="1" s="1"/>
  <c r="H23" i="1" s="1"/>
  <c r="I23" i="1" s="1"/>
  <c r="H24" i="1" s="1"/>
  <c r="I24" i="1" s="1"/>
  <c r="H25" i="1" s="1"/>
  <c r="I25" i="1" s="1"/>
  <c r="H26" i="1" s="1"/>
  <c r="I26" i="1" s="1"/>
  <c r="H27" i="1" s="1"/>
  <c r="I27" i="1" s="1"/>
  <c r="I29" i="1"/>
  <c r="H30" i="1" s="1"/>
  <c r="I30" i="1" s="1"/>
  <c r="I32" i="1"/>
  <c r="H33" i="1" s="1"/>
  <c r="I33" i="1" s="1"/>
  <c r="H34" i="1" s="1"/>
  <c r="I34" i="1" s="1"/>
  <c r="H35" i="1" s="1"/>
  <c r="I35" i="1" s="1"/>
  <c r="H36" i="1" s="1"/>
  <c r="I36" i="1" s="1"/>
  <c r="H37" i="1" s="1"/>
  <c r="I37" i="1" s="1"/>
  <c r="H38" i="1" s="1"/>
  <c r="I38" i="1" s="1"/>
  <c r="H39" i="1" s="1"/>
  <c r="I39" i="1" s="1"/>
  <c r="H40" i="1" s="1"/>
  <c r="I40" i="1" s="1"/>
  <c r="H41" i="1" s="1"/>
  <c r="I41" i="1" s="1"/>
  <c r="H42" i="1" s="1"/>
  <c r="I42" i="1" s="1"/>
  <c r="H43" i="1" s="1"/>
  <c r="I43" i="1" s="1"/>
  <c r="H44" i="1" s="1"/>
  <c r="I44" i="1" s="1"/>
  <c r="H45" i="1" s="1"/>
  <c r="I45" i="1" s="1"/>
  <c r="H46" i="1" s="1"/>
  <c r="I46" i="1" s="1"/>
  <c r="H47" i="1" s="1"/>
  <c r="I47" i="1" s="1"/>
  <c r="H48" i="1" s="1"/>
  <c r="I48" i="1" s="1"/>
  <c r="H49" i="1" s="1"/>
  <c r="I49" i="1" s="1"/>
  <c r="H50" i="1" s="1"/>
  <c r="I50" i="1" s="1"/>
  <c r="H51" i="1" s="1"/>
  <c r="I51" i="1" s="1"/>
  <c r="H52" i="1" s="1"/>
  <c r="I52" i="1" s="1"/>
  <c r="H53" i="1" s="1"/>
  <c r="I53" i="1" s="1"/>
  <c r="H54" i="1" s="1"/>
  <c r="I54" i="1" s="1"/>
  <c r="H55" i="1" s="1"/>
  <c r="I55" i="1" s="1"/>
  <c r="H56" i="1" s="1"/>
  <c r="I56" i="1" s="1"/>
  <c r="H57" i="1" s="1"/>
  <c r="I57" i="1" s="1"/>
  <c r="H58" i="1" s="1"/>
  <c r="I58" i="1" s="1"/>
  <c r="H59" i="1" s="1"/>
  <c r="I59" i="1" s="1"/>
  <c r="H61" i="1"/>
  <c r="I61" i="1" s="1"/>
  <c r="H62" i="1" s="1"/>
  <c r="I62" i="1" s="1"/>
  <c r="H63" i="1" s="1"/>
  <c r="I63" i="1" s="1"/>
  <c r="H64" i="1" s="1"/>
  <c r="I64" i="1" s="1"/>
  <c r="H65" i="1" s="1"/>
  <c r="I65" i="1" s="1"/>
  <c r="H66" i="1" s="1"/>
  <c r="I66" i="1" s="1"/>
  <c r="H67" i="1" s="1"/>
  <c r="I67" i="1" s="1"/>
  <c r="H68" i="1" s="1"/>
  <c r="I68" i="1" s="1"/>
  <c r="H69" i="1" s="1"/>
  <c r="I69" i="1" s="1"/>
  <c r="H70" i="1" s="1"/>
  <c r="I70" i="1" s="1"/>
  <c r="H71" i="1" s="1"/>
  <c r="I71" i="1" s="1"/>
  <c r="H72" i="1" s="1"/>
  <c r="I72" i="1" s="1"/>
  <c r="H73" i="1" s="1"/>
  <c r="I73" i="1" s="1"/>
  <c r="H74" i="1" s="1"/>
  <c r="I74" i="1" s="1"/>
  <c r="H75" i="1" s="1"/>
  <c r="I75" i="1" s="1"/>
  <c r="H76" i="1" s="1"/>
  <c r="I76" i="1" s="1"/>
  <c r="H77" i="1" s="1"/>
  <c r="I77" i="1" s="1"/>
  <c r="H78" i="1" s="1"/>
  <c r="I78" i="1" s="1"/>
  <c r="H79" i="1" s="1"/>
  <c r="I79" i="1" s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5" i="1" s="1"/>
  <c r="I85" i="1" s="1"/>
  <c r="H86" i="1" s="1"/>
  <c r="I86" i="1" s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2" i="1" s="1"/>
  <c r="I92" i="1" s="1"/>
  <c r="H93" i="1" s="1"/>
  <c r="I93" i="1" s="1"/>
  <c r="H94" i="1" s="1"/>
  <c r="I94" i="1" s="1"/>
  <c r="H95" i="1" s="1"/>
  <c r="I95" i="1" s="1"/>
  <c r="H96" i="1" s="1"/>
  <c r="I96" i="1" s="1"/>
  <c r="H97" i="1" s="1"/>
  <c r="I97" i="1" s="1"/>
  <c r="H98" i="1" s="1"/>
  <c r="I98" i="1" s="1"/>
  <c r="H99" i="1" s="1"/>
  <c r="I99" i="1" s="1"/>
  <c r="H100" i="1" s="1"/>
  <c r="I100" i="1" s="1"/>
  <c r="I8" i="1"/>
  <c r="H9" i="1" s="1"/>
  <c r="I9" i="1" s="1"/>
  <c r="H10" i="1" s="1"/>
  <c r="I10" i="1" s="1"/>
  <c r="H11" i="1" s="1"/>
  <c r="I11" i="1" s="1"/>
  <c r="H12" i="1" s="1"/>
  <c r="I12" i="1" s="1"/>
  <c r="H13" i="1" s="1"/>
  <c r="I13" i="1" s="1"/>
  <c r="H14" i="1" s="1"/>
  <c r="I14" i="1" s="1"/>
  <c r="H15" i="1" s="1"/>
  <c r="I15" i="1" s="1"/>
  <c r="H16" i="1" s="1"/>
  <c r="I16" i="1" s="1"/>
</calcChain>
</file>

<file path=xl/sharedStrings.xml><?xml version="1.0" encoding="utf-8"?>
<sst xmlns="http://schemas.openxmlformats.org/spreadsheetml/2006/main" count="278" uniqueCount="162">
  <si>
    <t>CL</t>
  </si>
  <si>
    <t>BL</t>
  </si>
  <si>
    <t>FR</t>
  </si>
  <si>
    <t>X</t>
  </si>
  <si>
    <t>DT</t>
  </si>
  <si>
    <t>Volume</t>
  </si>
  <si>
    <t>ST</t>
  </si>
  <si>
    <t>char</t>
  </si>
  <si>
    <t>tinyint</t>
  </si>
  <si>
    <t>datetime</t>
  </si>
  <si>
    <t>int</t>
  </si>
  <si>
    <t>numéric</t>
  </si>
  <si>
    <t>decimal</t>
  </si>
  <si>
    <t>Char</t>
  </si>
  <si>
    <t>FORMAT 99999,9999</t>
  </si>
  <si>
    <t xml:space="preserve">X </t>
  </si>
  <si>
    <t>Email</t>
  </si>
  <si>
    <t xml:space="preserve"> </t>
  </si>
  <si>
    <t>Position</t>
  </si>
  <si>
    <t>Description</t>
  </si>
  <si>
    <t>STOCK MOVEMENT</t>
  </si>
  <si>
    <t>CODE
LINE IDENTIFIER</t>
  </si>
  <si>
    <t>Fields</t>
  </si>
  <si>
    <r>
      <t xml:space="preserve">Line identifier code: </t>
    </r>
    <r>
      <rPr>
        <b/>
        <sz val="11"/>
        <color indexed="10"/>
        <rFont val="Calibri"/>
        <family val="2"/>
        <scheme val="minor"/>
      </rPr>
      <t>FR</t>
    </r>
  </si>
  <si>
    <t>Required</t>
  </si>
  <si>
    <t>Type</t>
  </si>
  <si>
    <t>Size</t>
  </si>
  <si>
    <t>Debut</t>
  </si>
  <si>
    <t>Fin</t>
  </si>
  <si>
    <r>
      <t xml:space="preserve">Line identifier code: </t>
    </r>
    <r>
      <rPr>
        <b/>
        <sz val="11"/>
        <color indexed="10"/>
        <rFont val="Calibri"/>
        <family val="2"/>
        <scheme val="minor"/>
      </rPr>
      <t>CL</t>
    </r>
  </si>
  <si>
    <r>
      <t xml:space="preserve">Line identifier code: </t>
    </r>
    <r>
      <rPr>
        <b/>
        <sz val="11"/>
        <color indexed="10"/>
        <rFont val="Calibri"/>
        <family val="2"/>
        <scheme val="minor"/>
      </rPr>
      <t>ST</t>
    </r>
  </si>
  <si>
    <r>
      <t xml:space="preserve">Line identifier code: </t>
    </r>
    <r>
      <rPr>
        <b/>
        <sz val="11"/>
        <color indexed="10"/>
        <rFont val="Calibri"/>
        <family val="2"/>
        <scheme val="minor"/>
      </rPr>
      <t>BL</t>
    </r>
  </si>
  <si>
    <t>Comments</t>
  </si>
  <si>
    <t>Recipient name</t>
  </si>
  <si>
    <r>
      <t xml:space="preserve">Recipient code. </t>
    </r>
    <r>
      <rPr>
        <sz val="11"/>
        <color rgb="FFFF0000"/>
        <rFont val="Calibri"/>
        <family val="2"/>
        <scheme val="minor"/>
      </rPr>
      <t>Mandatory if out of stock</t>
    </r>
  </si>
  <si>
    <t>1st line</t>
  </si>
  <si>
    <t>2nd line</t>
  </si>
  <si>
    <t>3rd line</t>
  </si>
  <si>
    <t>4th line</t>
  </si>
  <si>
    <t>As many</t>
  </si>
  <si>
    <t>lines as</t>
  </si>
  <si>
    <t>necessary</t>
  </si>
  <si>
    <t>Free text comments</t>
  </si>
  <si>
    <t>Storer code (logistics provider)</t>
  </si>
  <si>
    <t>BL number</t>
  </si>
  <si>
    <t>BL type</t>
  </si>
  <si>
    <t>Delivery date</t>
  </si>
  <si>
    <t>Order number</t>
  </si>
  <si>
    <t>Order date</t>
  </si>
  <si>
    <t>Origin</t>
  </si>
  <si>
    <t>Vehicle number</t>
  </si>
  <si>
    <t>Carrier code</t>
  </si>
  <si>
    <t>Carrier name</t>
  </si>
  <si>
    <t>Recipient 1 address</t>
  </si>
  <si>
    <t>Recipient 2 address</t>
  </si>
  <si>
    <t>Recipient 3 address</t>
  </si>
  <si>
    <t>Recipient postal code</t>
  </si>
  <si>
    <t>Recipient city</t>
  </si>
  <si>
    <t>Recipient country</t>
  </si>
  <si>
    <t>Date qualifier</t>
  </si>
  <si>
    <t>Recipient code address</t>
  </si>
  <si>
    <t>Recipient 1 telephone number</t>
  </si>
  <si>
    <t>Cash on delivery value</t>
  </si>
  <si>
    <t>Declared value</t>
  </si>
  <si>
    <t>Recipient country code</t>
  </si>
  <si>
    <t>Delivery code</t>
  </si>
  <si>
    <t>Accounting code of the customer record in the WMS</t>
  </si>
  <si>
    <t>Customer Name</t>
  </si>
  <si>
    <t>Customer Address 1</t>
  </si>
  <si>
    <t>Customer Address 2</t>
  </si>
  <si>
    <t>Customer Address 3</t>
  </si>
  <si>
    <t>Customer Postal code</t>
  </si>
  <si>
    <t>Customer City</t>
  </si>
  <si>
    <t>Customer Country</t>
  </si>
  <si>
    <t>Customer Code</t>
  </si>
  <si>
    <t>Recipient Code</t>
  </si>
  <si>
    <t>Recipient Name</t>
  </si>
  <si>
    <t>Recipient Address 1</t>
  </si>
  <si>
    <t>Recipient Address 2</t>
  </si>
  <si>
    <t>Recipient Address 3</t>
  </si>
  <si>
    <t>Recipient Postal code</t>
  </si>
  <si>
    <t>Recipient City</t>
  </si>
  <si>
    <t>Recipient Country</t>
  </si>
  <si>
    <t>Recipient Comments</t>
  </si>
  <si>
    <t>Storer Code</t>
  </si>
  <si>
    <t>Unique BL identifier</t>
  </si>
  <si>
    <r>
      <t>ENTRY BL</t>
    </r>
    <r>
      <rPr>
        <b/>
        <sz val="11"/>
        <color indexed="12"/>
        <rFont val="Calibri"/>
        <family val="2"/>
        <scheme val="minor"/>
      </rPr>
      <t xml:space="preserve">
</t>
    </r>
    <r>
      <rPr>
        <b/>
        <sz val="11"/>
        <color indexed="8"/>
        <rFont val="Calibri"/>
        <family val="2"/>
        <scheme val="minor"/>
      </rPr>
      <t>03</t>
    </r>
    <r>
      <rPr>
        <sz val="11"/>
        <color indexed="8"/>
        <rFont val="Calibri"/>
        <family val="2"/>
        <scheme val="minor"/>
      </rPr>
      <t xml:space="preserve"> = entry from supplier
</t>
    </r>
    <r>
      <rPr>
        <b/>
        <sz val="11"/>
        <color indexed="8"/>
        <rFont val="Calibri"/>
        <family val="2"/>
        <scheme val="minor"/>
      </rPr>
      <t>04</t>
    </r>
    <r>
      <rPr>
        <sz val="11"/>
        <color indexed="8"/>
        <rFont val="Calibri"/>
        <family val="2"/>
        <scheme val="minor"/>
      </rPr>
      <t xml:space="preserve"> = entry from customer (returned goods)</t>
    </r>
    <r>
      <rPr>
        <sz val="11"/>
        <rFont val="Calibri"/>
        <family val="2"/>
        <scheme val="minor"/>
      </rPr>
      <t xml:space="preserve">
</t>
    </r>
    <r>
      <rPr>
        <b/>
        <u/>
        <sz val="11"/>
        <color indexed="12"/>
        <rFont val="Calibri"/>
        <family val="2"/>
        <scheme val="minor"/>
      </rPr>
      <t xml:space="preserve">OUTPUT BL - partial slip prohibited </t>
    </r>
    <r>
      <rPr>
        <sz val="11"/>
        <color indexed="8"/>
        <rFont val="Calibri"/>
        <family val="2"/>
        <scheme val="minor"/>
      </rPr>
      <t>(slip not processed if one of the lines is missing from stock or if the quantity is insufficient)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01</t>
    </r>
    <r>
      <rPr>
        <sz val="11"/>
        <rFont val="Calibri"/>
        <family val="2"/>
        <scheme val="minor"/>
      </rPr>
      <t xml:space="preserve"> = exit to supplier (returned goods)
</t>
    </r>
    <r>
      <rPr>
        <b/>
        <sz val="11"/>
        <rFont val="Calibri"/>
        <family val="2"/>
        <scheme val="minor"/>
      </rPr>
      <t>02</t>
    </r>
    <r>
      <rPr>
        <sz val="11"/>
        <rFont val="Calibri"/>
        <family val="2"/>
        <scheme val="minor"/>
      </rPr>
      <t xml:space="preserve"> = exit to customer
</t>
    </r>
    <r>
      <rPr>
        <b/>
        <u/>
        <sz val="11"/>
        <color indexed="12"/>
        <rFont val="Calibri"/>
        <family val="2"/>
        <scheme val="minor"/>
      </rPr>
      <t xml:space="preserve">OUTPUT BL - partial slip authorized </t>
    </r>
    <r>
      <rPr>
        <sz val="11"/>
        <color indexed="8"/>
        <rFont val="Calibri"/>
        <family val="2"/>
        <scheme val="minor"/>
      </rPr>
      <t>(slip processed even if one of the lines is missing from stock or if the quantity is insufficient, in this case fill in the line type field in DT accordingly)</t>
    </r>
    <r>
      <rPr>
        <b/>
        <u/>
        <sz val="11"/>
        <color indexed="12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07</t>
    </r>
    <r>
      <rPr>
        <sz val="11"/>
        <rFont val="Calibri"/>
        <family val="2"/>
        <scheme val="minor"/>
      </rPr>
      <t xml:space="preserve"> = exit to supplier (returned goods) - partial authorized
</t>
    </r>
    <r>
      <rPr>
        <b/>
        <sz val="11"/>
        <rFont val="Calibri"/>
        <family val="2"/>
        <scheme val="minor"/>
      </rPr>
      <t>08</t>
    </r>
    <r>
      <rPr>
        <sz val="11"/>
        <rFont val="Calibri"/>
        <family val="2"/>
        <scheme val="minor"/>
      </rPr>
      <t xml:space="preserve"> = exit to customer - partial authorized</t>
    </r>
    <r>
      <rPr>
        <b/>
        <u/>
        <sz val="11"/>
        <color indexed="12"/>
        <rFont val="Calibri"/>
        <family val="2"/>
        <scheme val="minor"/>
      </rPr>
      <t xml:space="preserve">
BLOCKING/UNBLOCKING BL
</t>
    </r>
    <r>
      <rPr>
        <b/>
        <sz val="11"/>
        <rFont val="Calibri"/>
        <family val="2"/>
        <scheme val="minor"/>
      </rPr>
      <t>09</t>
    </r>
    <r>
      <rPr>
        <sz val="11"/>
        <rFont val="Calibri"/>
        <family val="2"/>
        <scheme val="minor"/>
      </rPr>
      <t xml:space="preserve"> = movement of blocking/unblocking of goods</t>
    </r>
  </si>
  <si>
    <t>YYYYMMDD</t>
  </si>
  <si>
    <t>Driver name</t>
  </si>
  <si>
    <t>Free text</t>
  </si>
  <si>
    <t>Other information</t>
  </si>
  <si>
    <t>DAD = Requested Arrival Date, DLD = Deposit Deadline, DFD = Availability End Date</t>
  </si>
  <si>
    <r>
      <t xml:space="preserve">Line identifier code: </t>
    </r>
    <r>
      <rPr>
        <b/>
        <sz val="11"/>
        <color indexed="10"/>
        <rFont val="Calibri"/>
        <family val="2"/>
        <scheme val="minor"/>
      </rPr>
      <t>DT</t>
    </r>
  </si>
  <si>
    <t>Line number</t>
  </si>
  <si>
    <t>Product code</t>
  </si>
  <si>
    <t>EAN code</t>
  </si>
  <si>
    <t>Designation</t>
  </si>
  <si>
    <t>Unit price</t>
  </si>
  <si>
    <t>Price unit</t>
  </si>
  <si>
    <t>Discount</t>
  </si>
  <si>
    <t>Net weight</t>
  </si>
  <si>
    <t>Net weight unit</t>
  </si>
  <si>
    <t>Gross weight</t>
  </si>
  <si>
    <t>Gross weight unit</t>
  </si>
  <si>
    <t>Volume unit</t>
  </si>
  <si>
    <t>Best before date</t>
  </si>
  <si>
    <t>Expiry date</t>
  </si>
  <si>
    <t>UR (1) announced</t>
  </si>
  <si>
    <t>UR label</t>
  </si>
  <si>
    <t>UC (2) announced</t>
  </si>
  <si>
    <t>UC label</t>
  </si>
  <si>
    <t>UV (3) announced</t>
  </si>
  <si>
    <t>UV label</t>
  </si>
  <si>
    <t>Carton number</t>
  </si>
  <si>
    <t>UR missing</t>
  </si>
  <si>
    <t>UC missing</t>
  </si>
  <si>
    <t>UV missing</t>
  </si>
  <si>
    <t>Block code</t>
  </si>
  <si>
    <t>Block description</t>
  </si>
  <si>
    <t>Line type</t>
  </si>
  <si>
    <t>Miscellaneous information</t>
  </si>
  <si>
    <t>Family</t>
  </si>
  <si>
    <t>Origin code</t>
  </si>
  <si>
    <t>Destination code</t>
  </si>
  <si>
    <t>Other number</t>
  </si>
  <si>
    <t>UC EAN code</t>
  </si>
  <si>
    <t>Index</t>
  </si>
  <si>
    <t>X
1 of 3 minimum</t>
  </si>
  <si>
    <t>Increments on each line</t>
  </si>
  <si>
    <t>Reminder of the BL number indicated on the BL line</t>
  </si>
  <si>
    <t>Product identifier, uniqueness is made with the DT field product index position 40</t>
  </si>
  <si>
    <t>Product EAN code</t>
  </si>
  <si>
    <t>Product designation</t>
  </si>
  <si>
    <t>Batch number, manufacturing, series…</t>
  </si>
  <si>
    <t>Pallet number (identical on several lines for a heterogeneous pallet for example)</t>
  </si>
  <si>
    <t>Unit price according to unit FORMAT 99999.9999</t>
  </si>
  <si>
    <t>0 = grouping unit (pallet), 1 = packaging unit (box) 2 = sales unit (article)</t>
  </si>
  <si>
    <t>discount rate to apply to the price FORMAT 99999.9999</t>
  </si>
  <si>
    <t>FORMAT 99999.9999</t>
  </si>
  <si>
    <t>0 = grouping unit (pallet), 1 = packaging unit (box) 2 =sales unit (item)</t>
  </si>
  <si>
    <t>0=grouping unit (pallet), 1 =packaging unit (carton) 2 =sales unit (item)</t>
  </si>
  <si>
    <r>
      <t xml:space="preserve">Number of grouping units (pallet)
</t>
    </r>
    <r>
      <rPr>
        <b/>
        <sz val="11"/>
        <rFont val="Calibri"/>
        <family val="2"/>
        <scheme val="minor"/>
      </rPr>
      <t>Cannot be zero if entry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Can be zero if exit AND picking (Qty UC and/or UC &lt;&gt; 0)</t>
    </r>
  </si>
  <si>
    <r>
      <t xml:space="preserve">Label of the grouping unit
</t>
    </r>
    <r>
      <rPr>
        <b/>
        <sz val="11"/>
        <rFont val="Calibri"/>
        <family val="2"/>
        <scheme val="minor"/>
      </rPr>
      <t>(mandatory if entry into stock and new product)</t>
    </r>
  </si>
  <si>
    <r>
      <t xml:space="preserve">Label of the PACKAGING unit
</t>
    </r>
    <r>
      <rPr>
        <b/>
        <sz val="11"/>
        <rFont val="Calibri"/>
        <family val="2"/>
        <scheme val="minor"/>
      </rPr>
      <t>(mandatory if UC announced entered, if entry into stock and new product)</t>
    </r>
  </si>
  <si>
    <r>
      <t xml:space="preserve">Number of packaging units (boxes, parcels, etc.)
</t>
    </r>
    <r>
      <rPr>
        <b/>
        <sz val="11"/>
        <rFont val="Calibri"/>
        <family val="2"/>
        <scheme val="minor"/>
      </rPr>
      <t xml:space="preserve">Number per pallet,
can be zero on entry, or on exit if exit in picking by item
if &gt; 0 the number UV (below) must be entered </t>
    </r>
  </si>
  <si>
    <r>
      <t xml:space="preserve">Number of sales units (articles, parts, etc.)
</t>
    </r>
    <r>
      <rPr>
        <b/>
        <sz val="11"/>
        <rFont val="Calibri"/>
        <family val="2"/>
        <scheme val="minor"/>
      </rPr>
      <t>Number per box, mandatory if UC announced &lt;&gt; 0)
can be zero if only pallets without packaging or items are managed</t>
    </r>
    <r>
      <rPr>
        <sz val="11"/>
        <rFont val="Calibri"/>
        <family val="2"/>
        <scheme val="minor"/>
      </rPr>
      <t xml:space="preserve">
FORMAT 999999.99</t>
    </r>
  </si>
  <si>
    <r>
      <t xml:space="preserve">Label of the unit of Sale
</t>
    </r>
    <r>
      <rPr>
        <b/>
        <sz val="11"/>
        <rFont val="Calibri"/>
        <family val="2"/>
        <scheme val="minor"/>
      </rPr>
      <t>(mandatory if UC announced filled in, if entry into stock and new product)</t>
    </r>
  </si>
  <si>
    <t>One line per box identifier. All boxes present on the same pallet must have the same pallet identifier.</t>
  </si>
  <si>
    <t>For return after validation of missing quantity</t>
  </si>
  <si>
    <t>For return after validation of missing quantity FORMAT 999999.99</t>
  </si>
  <si>
    <t>Block code identifier</t>
  </si>
  <si>
    <t>Batch</t>
  </si>
  <si>
    <t>Pallet</t>
  </si>
  <si>
    <r>
      <t>Input line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00</t>
    </r>
    <r>
      <rPr>
        <sz val="11"/>
        <rFont val="Calibri"/>
        <family val="2"/>
        <scheme val="minor"/>
      </rPr>
      <t xml:space="preserve"> = if entry into stock
</t>
    </r>
    <r>
      <rPr>
        <b/>
        <u/>
        <sz val="11"/>
        <color indexed="12"/>
        <rFont val="Calibri"/>
        <family val="2"/>
        <scheme val="minor"/>
      </rPr>
      <t xml:space="preserve">Output line if Type BL = 01 or 02 (partial slip prohibited)
</t>
    </r>
    <r>
      <rPr>
        <b/>
        <sz val="11"/>
        <rFont val="Calibri"/>
        <family val="2"/>
        <scheme val="minor"/>
      </rPr>
      <t>00</t>
    </r>
    <r>
      <rPr>
        <sz val="11"/>
        <rFont val="Calibri"/>
        <family val="2"/>
        <scheme val="minor"/>
      </rPr>
      <t xml:space="preserve"> = Collection imposed, on condition that the Pal No. and/or the Carton No. is entered.</t>
    </r>
    <r>
      <rPr>
        <b/>
        <sz val="11"/>
        <rFont val="Calibri"/>
        <family val="2"/>
        <scheme val="minor"/>
      </rPr>
      <t xml:space="preserve">
01 </t>
    </r>
    <r>
      <rPr>
        <sz val="11"/>
        <rFont val="Calibri"/>
        <family val="2"/>
        <scheme val="minor"/>
      </rPr>
      <t>= FIFO on entry date (the oldest)</t>
    </r>
    <r>
      <rPr>
        <b/>
        <sz val="11"/>
        <rFont val="Calibri"/>
        <family val="2"/>
        <scheme val="minor"/>
      </rPr>
      <t xml:space="preserve">
02 </t>
    </r>
    <r>
      <rPr>
        <sz val="11"/>
        <rFont val="Calibri"/>
        <family val="2"/>
        <scheme val="minor"/>
      </rPr>
      <t>= FIFO on DLUO (the oldest)</t>
    </r>
    <r>
      <rPr>
        <b/>
        <sz val="11"/>
        <rFont val="Calibri"/>
        <family val="2"/>
        <scheme val="minor"/>
      </rPr>
      <t xml:space="preserve">
03 </t>
    </r>
    <r>
      <rPr>
        <sz val="11"/>
        <rFont val="Calibri"/>
        <family val="2"/>
        <scheme val="minor"/>
      </rPr>
      <t>= FIFO on Batch No. (the smallest in ascending order)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
</t>
    </r>
    <r>
      <rPr>
        <b/>
        <u/>
        <sz val="11"/>
        <color indexed="12"/>
        <rFont val="Calibri"/>
        <family val="2"/>
        <scheme val="minor"/>
      </rPr>
      <t>Output line if Type BL = 07 or 08 (partial slip authorized)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Partial prohibited on the Output line - (line not processed if no stock or if the quantity in stock is insufficient)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00</t>
    </r>
    <r>
      <rPr>
        <sz val="11"/>
        <rFont val="Calibri"/>
        <family val="2"/>
        <scheme val="minor"/>
      </rPr>
      <t xml:space="preserve"> = Collection imposed, on condition that the Pal No. and/or the Carton No. is entered.</t>
    </r>
    <r>
      <rPr>
        <b/>
        <sz val="11"/>
        <rFont val="Calibri"/>
        <family val="2"/>
        <scheme val="minor"/>
      </rPr>
      <t xml:space="preserve">
01</t>
    </r>
    <r>
      <rPr>
        <sz val="11"/>
        <rFont val="Calibri"/>
        <family val="2"/>
        <scheme val="minor"/>
      </rPr>
      <t xml:space="preserve"> = FIFO on entry date (the oldest)
</t>
    </r>
    <r>
      <rPr>
        <b/>
        <sz val="11"/>
        <rFont val="Calibri"/>
        <family val="2"/>
        <scheme val="minor"/>
      </rPr>
      <t xml:space="preserve">02 </t>
    </r>
    <r>
      <rPr>
        <sz val="11"/>
        <rFont val="Calibri"/>
        <family val="2"/>
        <scheme val="minor"/>
      </rPr>
      <t>= FIFO on DLUO (the oldest)</t>
    </r>
    <r>
      <rPr>
        <b/>
        <sz val="11"/>
        <rFont val="Calibri"/>
        <family val="2"/>
        <scheme val="minor"/>
      </rPr>
      <t xml:space="preserve">
03 </t>
    </r>
    <r>
      <rPr>
        <sz val="11"/>
        <rFont val="Calibri"/>
        <family val="2"/>
        <scheme val="minor"/>
      </rPr>
      <t>= FIFO on Batch No. (smallest in ascending order)</t>
    </r>
    <r>
      <rPr>
        <b/>
        <sz val="11"/>
        <rFont val="Calibri"/>
        <family val="2"/>
        <scheme val="minor"/>
      </rPr>
      <t xml:space="preserve">
partial authorized on the Output Line - (line processed according to stock availability even if less than the quantity requested)
11</t>
    </r>
    <r>
      <rPr>
        <sz val="11"/>
        <rFont val="Calibri"/>
        <family val="2"/>
        <scheme val="minor"/>
      </rPr>
      <t xml:space="preserve"> = FIFO on entry date (oldest)</t>
    </r>
    <r>
      <rPr>
        <b/>
        <sz val="11"/>
        <rFont val="Calibri"/>
        <family val="2"/>
        <scheme val="minor"/>
      </rPr>
      <t xml:space="preserve">
12</t>
    </r>
    <r>
      <rPr>
        <sz val="11"/>
        <rFont val="Calibri"/>
        <family val="2"/>
        <scheme val="minor"/>
      </rPr>
      <t xml:space="preserve"> = FIFO on DLUO (oldest)</t>
    </r>
    <r>
      <rPr>
        <b/>
        <sz val="11"/>
        <rFont val="Calibri"/>
        <family val="2"/>
        <scheme val="minor"/>
      </rPr>
      <t xml:space="preserve">
13</t>
    </r>
    <r>
      <rPr>
        <sz val="11"/>
        <rFont val="Calibri"/>
        <family val="2"/>
        <scheme val="minor"/>
      </rPr>
      <t xml:space="preserve"> = FIFO on Batch No. (smallest in ascending order)</t>
    </r>
  </si>
  <si>
    <t>Product family code</t>
  </si>
  <si>
    <t>Line order number</t>
  </si>
  <si>
    <t>Line source code</t>
  </si>
  <si>
    <t>Line destination code</t>
  </si>
  <si>
    <t>Free No.</t>
  </si>
  <si>
    <t>Carton EAN code</t>
  </si>
  <si>
    <t>Additional product identifier, uniqueness is achieved with the product code field position 4</t>
  </si>
  <si>
    <r>
      <t xml:space="preserve">Utf-8 encoded text file allowing the integration of stock movements to the WMS.
Structure also used for movement confirmations sent by the WMS.
Each field is separated by the pipe character '|' and all must be present even if not used.
Each line must end with the line feed + end of line CR/LF character.
Fields must not exceed the maximum authorized size.
Fields are not of fixed size.
</t>
    </r>
    <r>
      <rPr>
        <b/>
        <sz val="9"/>
        <rFont val="Arial"/>
        <family val="2"/>
      </rPr>
      <t>It is strongly recommended to create one file per movement.
If you choose to group several movements in the same file and an error occurs 
(such as a field length exceeded or an incorrect structure), the entire file will be rejected.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</si>
</sst>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9"/>
      <name val="Arial"/>
    </font>
    <font>
      <sz val="9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indexed="57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i/>
      <sz val="11"/>
      <color indexed="10"/>
      <name val="Calibri"/>
      <family val="2"/>
      <scheme val="minor"/>
    </font>
    <font>
      <b/>
      <u/>
      <sz val="11"/>
      <color indexed="12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3" fillId="0" borderId="6" xfId="0" applyFont="1" applyBorder="1"/>
    <xf numFmtId="0" fontId="5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/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0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5" xfId="0" applyFont="1" applyBorder="1"/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2" fillId="0" borderId="0" xfId="0" applyFont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2" borderId="25" xfId="0" applyFont="1" applyFill="1" applyBorder="1"/>
    <xf numFmtId="0" fontId="9" fillId="0" borderId="19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2" xfId="0" applyFont="1" applyBorder="1"/>
    <xf numFmtId="0" fontId="5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3" fillId="0" borderId="26" xfId="0" applyFont="1" applyBorder="1"/>
    <xf numFmtId="0" fontId="4" fillId="0" borderId="6" xfId="0" applyFont="1" applyBorder="1" applyAlignment="1">
      <alignment horizontal="center" vertical="center" wrapText="1"/>
    </xf>
    <xf numFmtId="0" fontId="7" fillId="0" borderId="18" xfId="0" applyFont="1" applyBorder="1"/>
    <xf numFmtId="0" fontId="4" fillId="0" borderId="3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79</xdr:row>
      <xdr:rowOff>9525</xdr:rowOff>
    </xdr:from>
    <xdr:to>
      <xdr:col>2</xdr:col>
      <xdr:colOff>161925</xdr:colOff>
      <xdr:row>85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B4D55203-B5F2-C37C-F321-162F952D0EB4}"/>
            </a:ext>
          </a:extLst>
        </xdr:cNvPr>
        <xdr:cNvSpPr>
          <a:spLocks/>
        </xdr:cNvSpPr>
      </xdr:nvSpPr>
      <xdr:spPr bwMode="auto">
        <a:xfrm>
          <a:off x="1590675" y="16611600"/>
          <a:ext cx="5829300" cy="2581275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8E3C-C5AB-40F8-967A-941E59DB3F9D}">
  <sheetPr>
    <pageSetUpPr fitToPage="1"/>
  </sheetPr>
  <dimension ref="A1:I101"/>
  <sheetViews>
    <sheetView showGridLines="0" tabSelected="1" zoomScaleNormal="100" workbookViewId="0">
      <selection activeCell="K5" sqref="K5"/>
    </sheetView>
  </sheetViews>
  <sheetFormatPr baseColWidth="10" defaultRowHeight="15" x14ac:dyDescent="0.25"/>
  <cols>
    <col min="1" max="1" width="18.42578125" style="2" customWidth="1"/>
    <col min="2" max="2" width="29.85546875" style="3" customWidth="1"/>
    <col min="3" max="3" width="13.28515625" style="3" customWidth="1"/>
    <col min="4" max="4" width="9.140625" style="1" bestFit="1" customWidth="1"/>
    <col min="5" max="5" width="8" style="1" customWidth="1"/>
    <col min="6" max="6" width="92.42578125" style="1" bestFit="1" customWidth="1"/>
    <col min="7" max="7" width="7.5703125" style="1" customWidth="1"/>
    <col min="8" max="9" width="7.42578125" style="4" customWidth="1"/>
    <col min="10" max="10" width="6.28515625" style="3" customWidth="1"/>
    <col min="11" max="16384" width="11.42578125" style="3"/>
  </cols>
  <sheetData>
    <row r="1" spans="1:9" ht="18.75" x14ac:dyDescent="0.3">
      <c r="B1" s="39" t="s">
        <v>20</v>
      </c>
    </row>
    <row r="2" spans="1:9" x14ac:dyDescent="0.25">
      <c r="B2" s="85" t="s">
        <v>161</v>
      </c>
      <c r="C2" s="85"/>
      <c r="D2" s="85"/>
      <c r="E2" s="85"/>
      <c r="F2" s="85"/>
      <c r="G2" s="84"/>
    </row>
    <row r="3" spans="1:9" x14ac:dyDescent="0.25">
      <c r="B3" s="85"/>
      <c r="C3" s="85"/>
      <c r="D3" s="85"/>
      <c r="E3" s="85"/>
      <c r="F3" s="85"/>
      <c r="G3" s="84"/>
    </row>
    <row r="4" spans="1:9" x14ac:dyDescent="0.25">
      <c r="B4" s="85"/>
      <c r="C4" s="85"/>
      <c r="D4" s="85"/>
      <c r="E4" s="85"/>
      <c r="F4" s="85"/>
      <c r="G4" s="84"/>
    </row>
    <row r="5" spans="1:9" ht="67.5" customHeight="1" x14ac:dyDescent="0.25">
      <c r="A5" s="5"/>
      <c r="B5" s="85"/>
      <c r="C5" s="85"/>
      <c r="D5" s="85"/>
      <c r="E5" s="85"/>
      <c r="F5" s="85"/>
      <c r="G5" s="84"/>
    </row>
    <row r="7" spans="1:9" s="6" customFormat="1" ht="30" x14ac:dyDescent="0.25">
      <c r="A7" s="51" t="s">
        <v>21</v>
      </c>
      <c r="B7" s="46" t="s">
        <v>22</v>
      </c>
      <c r="C7" s="46" t="s">
        <v>24</v>
      </c>
      <c r="D7" s="46" t="s">
        <v>25</v>
      </c>
      <c r="E7" s="46" t="s">
        <v>18</v>
      </c>
      <c r="F7" s="46" t="s">
        <v>19</v>
      </c>
      <c r="G7" s="46" t="s">
        <v>26</v>
      </c>
      <c r="H7" s="46" t="s">
        <v>27</v>
      </c>
      <c r="I7" s="46" t="s">
        <v>28</v>
      </c>
    </row>
    <row r="8" spans="1:9" s="6" customFormat="1" x14ac:dyDescent="0.25">
      <c r="A8" s="47"/>
      <c r="B8" s="48" t="s">
        <v>23</v>
      </c>
      <c r="C8" s="49" t="s">
        <v>3</v>
      </c>
      <c r="D8" s="12" t="s">
        <v>7</v>
      </c>
      <c r="E8" s="68">
        <v>1</v>
      </c>
      <c r="F8" s="50" t="s">
        <v>2</v>
      </c>
      <c r="G8" s="61">
        <v>2</v>
      </c>
      <c r="H8" s="7">
        <v>1</v>
      </c>
      <c r="I8" s="8">
        <f>H8+G8-1</f>
        <v>2</v>
      </c>
    </row>
    <row r="9" spans="1:9" x14ac:dyDescent="0.25">
      <c r="A9" s="9"/>
      <c r="B9" s="10" t="s">
        <v>74</v>
      </c>
      <c r="C9" s="11" t="s">
        <v>3</v>
      </c>
      <c r="D9" s="12" t="s">
        <v>7</v>
      </c>
      <c r="E9" s="68">
        <v>2</v>
      </c>
      <c r="F9" s="40" t="s">
        <v>66</v>
      </c>
      <c r="G9" s="37">
        <v>15</v>
      </c>
      <c r="H9" s="14">
        <f>I8+1</f>
        <v>3</v>
      </c>
      <c r="I9" s="15">
        <f>H9+G9-1</f>
        <v>17</v>
      </c>
    </row>
    <row r="10" spans="1:9" x14ac:dyDescent="0.25">
      <c r="A10" s="16"/>
      <c r="B10" s="17" t="s">
        <v>67</v>
      </c>
      <c r="C10" s="17"/>
      <c r="D10" s="18" t="s">
        <v>7</v>
      </c>
      <c r="E10" s="68">
        <v>3</v>
      </c>
      <c r="F10" s="41" t="s">
        <v>67</v>
      </c>
      <c r="G10" s="36">
        <v>50</v>
      </c>
      <c r="H10" s="14">
        <f t="shared" ref="H10:H73" si="0">I9+1</f>
        <v>18</v>
      </c>
      <c r="I10" s="15">
        <f>H10+G10-1</f>
        <v>67</v>
      </c>
    </row>
    <row r="11" spans="1:9" x14ac:dyDescent="0.25">
      <c r="A11" s="9" t="s">
        <v>2</v>
      </c>
      <c r="B11" s="17" t="s">
        <v>68</v>
      </c>
      <c r="C11" s="17"/>
      <c r="D11" s="18" t="s">
        <v>7</v>
      </c>
      <c r="E11" s="68">
        <v>4</v>
      </c>
      <c r="F11" s="41"/>
      <c r="G11" s="36">
        <v>40</v>
      </c>
      <c r="H11" s="14">
        <f t="shared" si="0"/>
        <v>68</v>
      </c>
      <c r="I11" s="15">
        <f>H11+G11-1</f>
        <v>107</v>
      </c>
    </row>
    <row r="12" spans="1:9" x14ac:dyDescent="0.25">
      <c r="A12" s="16" t="s">
        <v>35</v>
      </c>
      <c r="B12" s="17" t="s">
        <v>69</v>
      </c>
      <c r="C12" s="17"/>
      <c r="D12" s="18" t="s">
        <v>7</v>
      </c>
      <c r="E12" s="68">
        <v>5</v>
      </c>
      <c r="F12" s="41"/>
      <c r="G12" s="36">
        <v>40</v>
      </c>
      <c r="H12" s="14">
        <f t="shared" si="0"/>
        <v>108</v>
      </c>
      <c r="I12" s="15">
        <f>H12+G12-1</f>
        <v>147</v>
      </c>
    </row>
    <row r="13" spans="1:9" x14ac:dyDescent="0.25">
      <c r="A13" s="9"/>
      <c r="B13" s="17" t="s">
        <v>70</v>
      </c>
      <c r="C13" s="17"/>
      <c r="D13" s="18" t="s">
        <v>7</v>
      </c>
      <c r="E13" s="68">
        <v>6</v>
      </c>
      <c r="F13" s="41"/>
      <c r="G13" s="36">
        <v>40</v>
      </c>
      <c r="H13" s="14">
        <f t="shared" si="0"/>
        <v>148</v>
      </c>
      <c r="I13" s="15">
        <f>H13+G13-1</f>
        <v>187</v>
      </c>
    </row>
    <row r="14" spans="1:9" x14ac:dyDescent="0.25">
      <c r="A14" s="9"/>
      <c r="B14" s="17" t="s">
        <v>71</v>
      </c>
      <c r="C14" s="17"/>
      <c r="D14" s="18" t="s">
        <v>7</v>
      </c>
      <c r="E14" s="68">
        <v>7</v>
      </c>
      <c r="F14" s="41"/>
      <c r="G14" s="36">
        <v>10</v>
      </c>
      <c r="H14" s="14">
        <f t="shared" si="0"/>
        <v>188</v>
      </c>
      <c r="I14" s="15">
        <f>H14+G14-1</f>
        <v>197</v>
      </c>
    </row>
    <row r="15" spans="1:9" x14ac:dyDescent="0.25">
      <c r="A15" s="9"/>
      <c r="B15" s="17" t="s">
        <v>72</v>
      </c>
      <c r="C15" s="17"/>
      <c r="D15" s="18" t="s">
        <v>7</v>
      </c>
      <c r="E15" s="68">
        <v>8</v>
      </c>
      <c r="F15" s="41"/>
      <c r="G15" s="36">
        <v>40</v>
      </c>
      <c r="H15" s="14">
        <f t="shared" si="0"/>
        <v>198</v>
      </c>
      <c r="I15" s="15">
        <f>H15+G15-1</f>
        <v>237</v>
      </c>
    </row>
    <row r="16" spans="1:9" x14ac:dyDescent="0.25">
      <c r="A16" s="9"/>
      <c r="B16" s="20" t="s">
        <v>73</v>
      </c>
      <c r="C16" s="20"/>
      <c r="D16" s="21" t="s">
        <v>7</v>
      </c>
      <c r="E16" s="68">
        <v>9</v>
      </c>
      <c r="F16" s="42"/>
      <c r="G16" s="62">
        <v>40</v>
      </c>
      <c r="H16" s="52">
        <f t="shared" si="0"/>
        <v>238</v>
      </c>
      <c r="I16" s="53">
        <f>H16+G16-1</f>
        <v>277</v>
      </c>
    </row>
    <row r="17" spans="1:9" x14ac:dyDescent="0.25">
      <c r="A17" s="56"/>
      <c r="B17" s="57"/>
      <c r="C17" s="57"/>
      <c r="D17" s="58"/>
      <c r="E17" s="69"/>
      <c r="F17" s="65"/>
      <c r="G17" s="63"/>
      <c r="H17" s="59"/>
      <c r="I17" s="60"/>
    </row>
    <row r="18" spans="1:9" s="6" customFormat="1" x14ac:dyDescent="0.25">
      <c r="A18" s="47"/>
      <c r="B18" s="48" t="s">
        <v>29</v>
      </c>
      <c r="C18" s="49" t="s">
        <v>15</v>
      </c>
      <c r="D18" s="12" t="s">
        <v>7</v>
      </c>
      <c r="E18" s="68">
        <v>1</v>
      </c>
      <c r="F18" s="54" t="s">
        <v>0</v>
      </c>
      <c r="G18" s="61">
        <v>2</v>
      </c>
      <c r="H18" s="55">
        <v>1</v>
      </c>
      <c r="I18" s="8">
        <f>H18+G18-1</f>
        <v>2</v>
      </c>
    </row>
    <row r="19" spans="1:9" x14ac:dyDescent="0.25">
      <c r="A19" s="9"/>
      <c r="B19" s="10" t="s">
        <v>75</v>
      </c>
      <c r="C19" s="81" t="s">
        <v>15</v>
      </c>
      <c r="D19" s="12" t="s">
        <v>7</v>
      </c>
      <c r="E19" s="68">
        <v>2</v>
      </c>
      <c r="F19" s="43" t="s">
        <v>34</v>
      </c>
      <c r="G19" s="37">
        <v>15</v>
      </c>
      <c r="H19" s="14">
        <f t="shared" si="0"/>
        <v>3</v>
      </c>
      <c r="I19" s="15">
        <f>H19+G19-1</f>
        <v>17</v>
      </c>
    </row>
    <row r="20" spans="1:9" x14ac:dyDescent="0.25">
      <c r="A20" s="16"/>
      <c r="B20" s="17" t="s">
        <v>76</v>
      </c>
      <c r="C20" s="17"/>
      <c r="D20" s="18" t="s">
        <v>7</v>
      </c>
      <c r="E20" s="68">
        <v>3</v>
      </c>
      <c r="F20" s="44" t="s">
        <v>33</v>
      </c>
      <c r="G20" s="36">
        <v>50</v>
      </c>
      <c r="H20" s="14">
        <f t="shared" si="0"/>
        <v>18</v>
      </c>
      <c r="I20" s="15">
        <f>H20+G20-1</f>
        <v>67</v>
      </c>
    </row>
    <row r="21" spans="1:9" x14ac:dyDescent="0.25">
      <c r="A21" s="9" t="s">
        <v>0</v>
      </c>
      <c r="B21" s="17" t="s">
        <v>77</v>
      </c>
      <c r="C21" s="17"/>
      <c r="D21" s="18" t="s">
        <v>7</v>
      </c>
      <c r="E21" s="68">
        <v>4</v>
      </c>
      <c r="F21" s="44"/>
      <c r="G21" s="36">
        <v>40</v>
      </c>
      <c r="H21" s="14">
        <f t="shared" si="0"/>
        <v>68</v>
      </c>
      <c r="I21" s="15">
        <f>H21+G21-1</f>
        <v>107</v>
      </c>
    </row>
    <row r="22" spans="1:9" x14ac:dyDescent="0.25">
      <c r="A22" s="16" t="s">
        <v>36</v>
      </c>
      <c r="B22" s="17" t="s">
        <v>78</v>
      </c>
      <c r="C22" s="17"/>
      <c r="D22" s="18" t="s">
        <v>7</v>
      </c>
      <c r="E22" s="68">
        <v>5</v>
      </c>
      <c r="F22" s="44"/>
      <c r="G22" s="36">
        <v>40</v>
      </c>
      <c r="H22" s="14">
        <f t="shared" si="0"/>
        <v>108</v>
      </c>
      <c r="I22" s="15">
        <f>H22+G22-1</f>
        <v>147</v>
      </c>
    </row>
    <row r="23" spans="1:9" x14ac:dyDescent="0.25">
      <c r="A23" s="9"/>
      <c r="B23" s="17" t="s">
        <v>79</v>
      </c>
      <c r="C23" s="17"/>
      <c r="D23" s="18" t="s">
        <v>7</v>
      </c>
      <c r="E23" s="68">
        <v>6</v>
      </c>
      <c r="F23" s="44"/>
      <c r="G23" s="36">
        <v>40</v>
      </c>
      <c r="H23" s="14">
        <f t="shared" si="0"/>
        <v>148</v>
      </c>
      <c r="I23" s="15">
        <f>H23+G23-1</f>
        <v>187</v>
      </c>
    </row>
    <row r="24" spans="1:9" x14ac:dyDescent="0.25">
      <c r="A24" s="9"/>
      <c r="B24" s="17" t="s">
        <v>80</v>
      </c>
      <c r="C24" s="17"/>
      <c r="D24" s="18" t="s">
        <v>7</v>
      </c>
      <c r="E24" s="68">
        <v>7</v>
      </c>
      <c r="F24" s="44"/>
      <c r="G24" s="36">
        <v>10</v>
      </c>
      <c r="H24" s="14">
        <f t="shared" si="0"/>
        <v>188</v>
      </c>
      <c r="I24" s="15">
        <f>H24+G24-1</f>
        <v>197</v>
      </c>
    </row>
    <row r="25" spans="1:9" x14ac:dyDescent="0.25">
      <c r="A25" s="9"/>
      <c r="B25" s="17" t="s">
        <v>81</v>
      </c>
      <c r="C25" s="17"/>
      <c r="D25" s="18" t="s">
        <v>7</v>
      </c>
      <c r="E25" s="68">
        <v>8</v>
      </c>
      <c r="F25" s="44"/>
      <c r="G25" s="36">
        <v>40</v>
      </c>
      <c r="H25" s="14">
        <f t="shared" si="0"/>
        <v>198</v>
      </c>
      <c r="I25" s="15">
        <f>H25+G25-1</f>
        <v>237</v>
      </c>
    </row>
    <row r="26" spans="1:9" x14ac:dyDescent="0.25">
      <c r="A26" s="9"/>
      <c r="B26" s="20" t="s">
        <v>82</v>
      </c>
      <c r="C26" s="20"/>
      <c r="D26" s="21" t="s">
        <v>7</v>
      </c>
      <c r="E26" s="68">
        <v>9</v>
      </c>
      <c r="F26" s="45"/>
      <c r="G26" s="62">
        <v>40</v>
      </c>
      <c r="H26" s="14">
        <f t="shared" si="0"/>
        <v>238</v>
      </c>
      <c r="I26" s="15">
        <f>H26+G26-1</f>
        <v>277</v>
      </c>
    </row>
    <row r="27" spans="1:9" x14ac:dyDescent="0.25">
      <c r="A27" s="9"/>
      <c r="B27" s="20" t="s">
        <v>83</v>
      </c>
      <c r="C27" s="20"/>
      <c r="D27" s="21" t="s">
        <v>7</v>
      </c>
      <c r="E27" s="76">
        <v>10</v>
      </c>
      <c r="F27" s="45" t="s">
        <v>42</v>
      </c>
      <c r="G27" s="62">
        <v>512</v>
      </c>
      <c r="H27" s="52">
        <f t="shared" si="0"/>
        <v>278</v>
      </c>
      <c r="I27" s="53">
        <f>H27+G27-1</f>
        <v>789</v>
      </c>
    </row>
    <row r="28" spans="1:9" x14ac:dyDescent="0.25">
      <c r="A28" s="56"/>
      <c r="B28" s="57"/>
      <c r="C28" s="57"/>
      <c r="D28" s="58"/>
      <c r="E28" s="69"/>
      <c r="F28" s="57"/>
      <c r="G28" s="58"/>
      <c r="H28" s="59"/>
      <c r="I28" s="60"/>
    </row>
    <row r="29" spans="1:9" s="6" customFormat="1" x14ac:dyDescent="0.25">
      <c r="A29" s="9" t="s">
        <v>6</v>
      </c>
      <c r="B29" s="48" t="s">
        <v>30</v>
      </c>
      <c r="C29" s="49" t="s">
        <v>3</v>
      </c>
      <c r="D29" s="12" t="s">
        <v>7</v>
      </c>
      <c r="E29" s="78">
        <v>1</v>
      </c>
      <c r="F29" s="54" t="s">
        <v>6</v>
      </c>
      <c r="G29" s="61">
        <v>2</v>
      </c>
      <c r="H29" s="55">
        <v>1</v>
      </c>
      <c r="I29" s="8">
        <f>H29+G29-1</f>
        <v>2</v>
      </c>
    </row>
    <row r="30" spans="1:9" x14ac:dyDescent="0.25">
      <c r="A30" s="16" t="s">
        <v>37</v>
      </c>
      <c r="B30" s="72" t="s">
        <v>84</v>
      </c>
      <c r="C30" s="73" t="s">
        <v>3</v>
      </c>
      <c r="D30" s="74" t="s">
        <v>7</v>
      </c>
      <c r="E30" s="76">
        <v>2</v>
      </c>
      <c r="F30" s="77" t="s">
        <v>43</v>
      </c>
      <c r="G30" s="75">
        <v>15</v>
      </c>
      <c r="H30" s="52">
        <f t="shared" si="0"/>
        <v>3</v>
      </c>
      <c r="I30" s="53">
        <f>H30+G30-1</f>
        <v>17</v>
      </c>
    </row>
    <row r="31" spans="1:9" x14ac:dyDescent="0.25">
      <c r="A31" s="56"/>
      <c r="B31" s="57"/>
      <c r="C31" s="57"/>
      <c r="D31" s="58"/>
      <c r="E31" s="69"/>
      <c r="F31" s="57"/>
      <c r="G31" s="58"/>
      <c r="H31" s="59"/>
      <c r="I31" s="60"/>
    </row>
    <row r="32" spans="1:9" x14ac:dyDescent="0.25">
      <c r="A32" s="9"/>
      <c r="B32" s="48" t="s">
        <v>31</v>
      </c>
      <c r="C32" s="11" t="s">
        <v>3</v>
      </c>
      <c r="D32" s="12" t="s">
        <v>7</v>
      </c>
      <c r="E32" s="78">
        <v>1</v>
      </c>
      <c r="F32" s="79" t="s">
        <v>1</v>
      </c>
      <c r="G32" s="61">
        <v>2</v>
      </c>
      <c r="H32" s="55">
        <v>1</v>
      </c>
      <c r="I32" s="8">
        <f>H32+G32-1</f>
        <v>2</v>
      </c>
    </row>
    <row r="33" spans="1:9" x14ac:dyDescent="0.25">
      <c r="A33" s="9"/>
      <c r="B33" s="10" t="s">
        <v>44</v>
      </c>
      <c r="C33" s="11" t="s">
        <v>3</v>
      </c>
      <c r="D33" s="12" t="s">
        <v>7</v>
      </c>
      <c r="E33" s="68">
        <v>2</v>
      </c>
      <c r="F33" s="40" t="s">
        <v>85</v>
      </c>
      <c r="G33" s="37">
        <v>30</v>
      </c>
      <c r="H33" s="14">
        <f t="shared" si="0"/>
        <v>3</v>
      </c>
      <c r="I33" s="15">
        <f>H33+G33-1</f>
        <v>32</v>
      </c>
    </row>
    <row r="34" spans="1:9" s="28" customFormat="1" ht="195" x14ac:dyDescent="0.2">
      <c r="A34" s="24"/>
      <c r="B34" s="25" t="s">
        <v>45</v>
      </c>
      <c r="C34" s="26" t="s">
        <v>3</v>
      </c>
      <c r="D34" s="27" t="s">
        <v>8</v>
      </c>
      <c r="E34" s="68">
        <v>3</v>
      </c>
      <c r="F34" s="66" t="s">
        <v>86</v>
      </c>
      <c r="G34" s="64">
        <v>2</v>
      </c>
      <c r="H34" s="14">
        <f t="shared" si="0"/>
        <v>33</v>
      </c>
      <c r="I34" s="15">
        <f>H34+G34-1</f>
        <v>34</v>
      </c>
    </row>
    <row r="35" spans="1:9" x14ac:dyDescent="0.25">
      <c r="A35" s="9"/>
      <c r="B35" s="17" t="s">
        <v>46</v>
      </c>
      <c r="C35" s="29" t="s">
        <v>3</v>
      </c>
      <c r="D35" s="18" t="s">
        <v>9</v>
      </c>
      <c r="E35" s="70">
        <v>4</v>
      </c>
      <c r="F35" s="41" t="s">
        <v>87</v>
      </c>
      <c r="G35" s="36">
        <v>8</v>
      </c>
      <c r="H35" s="14">
        <f t="shared" si="0"/>
        <v>35</v>
      </c>
      <c r="I35" s="15">
        <f>H35+G35-1</f>
        <v>42</v>
      </c>
    </row>
    <row r="36" spans="1:9" x14ac:dyDescent="0.25">
      <c r="A36" s="9"/>
      <c r="B36" s="17" t="s">
        <v>47</v>
      </c>
      <c r="C36" s="17"/>
      <c r="D36" s="18" t="s">
        <v>7</v>
      </c>
      <c r="E36" s="70">
        <v>5</v>
      </c>
      <c r="F36" s="41" t="s">
        <v>47</v>
      </c>
      <c r="G36" s="36">
        <v>30</v>
      </c>
      <c r="H36" s="14">
        <f t="shared" si="0"/>
        <v>43</v>
      </c>
      <c r="I36" s="15">
        <f>H36+G36-1</f>
        <v>72</v>
      </c>
    </row>
    <row r="37" spans="1:9" x14ac:dyDescent="0.25">
      <c r="A37" s="9"/>
      <c r="B37" s="17" t="s">
        <v>48</v>
      </c>
      <c r="C37" s="17"/>
      <c r="D37" s="18" t="s">
        <v>9</v>
      </c>
      <c r="E37" s="70">
        <v>6</v>
      </c>
      <c r="F37" s="41" t="s">
        <v>87</v>
      </c>
      <c r="G37" s="36">
        <v>8</v>
      </c>
      <c r="H37" s="14">
        <f t="shared" si="0"/>
        <v>73</v>
      </c>
      <c r="I37" s="15">
        <f>H37+G37-1</f>
        <v>80</v>
      </c>
    </row>
    <row r="38" spans="1:9" x14ac:dyDescent="0.25">
      <c r="A38" s="9"/>
      <c r="B38" s="17" t="s">
        <v>49</v>
      </c>
      <c r="C38" s="17"/>
      <c r="D38" s="18" t="s">
        <v>7</v>
      </c>
      <c r="E38" s="70">
        <v>7</v>
      </c>
      <c r="F38" s="41"/>
      <c r="G38" s="36">
        <v>20</v>
      </c>
      <c r="H38" s="14">
        <f t="shared" si="0"/>
        <v>81</v>
      </c>
      <c r="I38" s="15">
        <f>H38+G38-1</f>
        <v>100</v>
      </c>
    </row>
    <row r="39" spans="1:9" x14ac:dyDescent="0.25">
      <c r="A39" s="9" t="s">
        <v>1</v>
      </c>
      <c r="B39" s="17" t="s">
        <v>50</v>
      </c>
      <c r="C39" s="17"/>
      <c r="D39" s="18" t="s">
        <v>7</v>
      </c>
      <c r="E39" s="70">
        <v>8</v>
      </c>
      <c r="F39" s="41"/>
      <c r="G39" s="36">
        <v>10</v>
      </c>
      <c r="H39" s="14">
        <f t="shared" si="0"/>
        <v>101</v>
      </c>
      <c r="I39" s="15">
        <f>H39+G39-1</f>
        <v>110</v>
      </c>
    </row>
    <row r="40" spans="1:9" x14ac:dyDescent="0.25">
      <c r="A40" s="24" t="s">
        <v>38</v>
      </c>
      <c r="B40" s="41" t="s">
        <v>88</v>
      </c>
      <c r="C40" s="17"/>
      <c r="D40" s="18" t="s">
        <v>7</v>
      </c>
      <c r="E40" s="70">
        <v>9</v>
      </c>
      <c r="F40" s="41"/>
      <c r="G40" s="36">
        <v>40</v>
      </c>
      <c r="H40" s="14">
        <f t="shared" si="0"/>
        <v>111</v>
      </c>
      <c r="I40" s="15">
        <f>H40+G40-1</f>
        <v>150</v>
      </c>
    </row>
    <row r="41" spans="1:9" x14ac:dyDescent="0.25">
      <c r="A41" s="9"/>
      <c r="B41" s="17" t="s">
        <v>51</v>
      </c>
      <c r="C41" s="17"/>
      <c r="D41" s="18" t="s">
        <v>7</v>
      </c>
      <c r="E41" s="70">
        <v>10</v>
      </c>
      <c r="F41" s="41"/>
      <c r="G41" s="36">
        <v>15</v>
      </c>
      <c r="H41" s="14">
        <f t="shared" si="0"/>
        <v>151</v>
      </c>
      <c r="I41" s="15">
        <f>H41+G41-1</f>
        <v>165</v>
      </c>
    </row>
    <row r="42" spans="1:9" x14ac:dyDescent="0.25">
      <c r="A42" s="9"/>
      <c r="B42" s="17" t="s">
        <v>52</v>
      </c>
      <c r="C42" s="17"/>
      <c r="D42" s="18" t="s">
        <v>7</v>
      </c>
      <c r="E42" s="70">
        <v>11</v>
      </c>
      <c r="F42" s="41"/>
      <c r="G42" s="36">
        <v>50</v>
      </c>
      <c r="H42" s="14">
        <f t="shared" si="0"/>
        <v>166</v>
      </c>
      <c r="I42" s="15">
        <f>H42+G42-1</f>
        <v>215</v>
      </c>
    </row>
    <row r="43" spans="1:9" x14ac:dyDescent="0.25">
      <c r="A43" s="9"/>
      <c r="B43" s="17" t="s">
        <v>33</v>
      </c>
      <c r="C43" s="17"/>
      <c r="D43" s="18" t="s">
        <v>7</v>
      </c>
      <c r="E43" s="70">
        <v>12</v>
      </c>
      <c r="F43" s="41"/>
      <c r="G43" s="36">
        <v>50</v>
      </c>
      <c r="H43" s="14">
        <f t="shared" si="0"/>
        <v>216</v>
      </c>
      <c r="I43" s="15">
        <f>H43+G43-1</f>
        <v>265</v>
      </c>
    </row>
    <row r="44" spans="1:9" x14ac:dyDescent="0.25">
      <c r="A44" s="9"/>
      <c r="B44" s="17" t="s">
        <v>53</v>
      </c>
      <c r="C44" s="17"/>
      <c r="D44" s="18" t="s">
        <v>7</v>
      </c>
      <c r="E44" s="70">
        <v>13</v>
      </c>
      <c r="F44" s="41"/>
      <c r="G44" s="36">
        <v>40</v>
      </c>
      <c r="H44" s="14">
        <f t="shared" si="0"/>
        <v>266</v>
      </c>
      <c r="I44" s="15">
        <f>H44+G44-1</f>
        <v>305</v>
      </c>
    </row>
    <row r="45" spans="1:9" x14ac:dyDescent="0.25">
      <c r="A45" s="9"/>
      <c r="B45" s="17" t="s">
        <v>54</v>
      </c>
      <c r="C45" s="17"/>
      <c r="D45" s="18" t="s">
        <v>7</v>
      </c>
      <c r="E45" s="70">
        <v>14</v>
      </c>
      <c r="F45" s="41"/>
      <c r="G45" s="36">
        <v>40</v>
      </c>
      <c r="H45" s="14">
        <f t="shared" si="0"/>
        <v>306</v>
      </c>
      <c r="I45" s="15">
        <f>H45+G45-1</f>
        <v>345</v>
      </c>
    </row>
    <row r="46" spans="1:9" x14ac:dyDescent="0.25">
      <c r="A46" s="9"/>
      <c r="B46" s="17" t="s">
        <v>55</v>
      </c>
      <c r="C46" s="17"/>
      <c r="D46" s="18" t="s">
        <v>7</v>
      </c>
      <c r="E46" s="70">
        <v>15</v>
      </c>
      <c r="F46" s="41"/>
      <c r="G46" s="36">
        <v>40</v>
      </c>
      <c r="H46" s="14">
        <f t="shared" si="0"/>
        <v>346</v>
      </c>
      <c r="I46" s="15">
        <f>H46+G46-1</f>
        <v>385</v>
      </c>
    </row>
    <row r="47" spans="1:9" x14ac:dyDescent="0.25">
      <c r="A47" s="9"/>
      <c r="B47" s="17" t="s">
        <v>56</v>
      </c>
      <c r="C47" s="17"/>
      <c r="D47" s="18" t="s">
        <v>7</v>
      </c>
      <c r="E47" s="70">
        <v>16</v>
      </c>
      <c r="F47" s="41"/>
      <c r="G47" s="36">
        <v>10</v>
      </c>
      <c r="H47" s="14">
        <f t="shared" si="0"/>
        <v>386</v>
      </c>
      <c r="I47" s="15">
        <f>H47+G47-1</f>
        <v>395</v>
      </c>
    </row>
    <row r="48" spans="1:9" x14ac:dyDescent="0.25">
      <c r="A48" s="9"/>
      <c r="B48" s="17" t="s">
        <v>57</v>
      </c>
      <c r="C48" s="17"/>
      <c r="D48" s="18" t="s">
        <v>7</v>
      </c>
      <c r="E48" s="70">
        <v>17</v>
      </c>
      <c r="F48" s="41"/>
      <c r="G48" s="36">
        <v>40</v>
      </c>
      <c r="H48" s="14">
        <f t="shared" si="0"/>
        <v>396</v>
      </c>
      <c r="I48" s="15">
        <f>H48+G48-1</f>
        <v>435</v>
      </c>
    </row>
    <row r="49" spans="1:9" x14ac:dyDescent="0.25">
      <c r="A49" s="9"/>
      <c r="B49" s="20" t="s">
        <v>58</v>
      </c>
      <c r="C49" s="20"/>
      <c r="D49" s="18" t="s">
        <v>7</v>
      </c>
      <c r="E49" s="70">
        <v>18</v>
      </c>
      <c r="F49" s="41"/>
      <c r="G49" s="62">
        <v>40</v>
      </c>
      <c r="H49" s="14">
        <f t="shared" si="0"/>
        <v>436</v>
      </c>
      <c r="I49" s="15">
        <f>H49+G49-1</f>
        <v>475</v>
      </c>
    </row>
    <row r="50" spans="1:9" x14ac:dyDescent="0.25">
      <c r="A50" s="9"/>
      <c r="B50" s="20" t="s">
        <v>32</v>
      </c>
      <c r="C50" s="20"/>
      <c r="D50" s="21" t="s">
        <v>7</v>
      </c>
      <c r="E50" s="70">
        <v>19</v>
      </c>
      <c r="F50" s="45" t="s">
        <v>42</v>
      </c>
      <c r="G50" s="62">
        <v>1000</v>
      </c>
      <c r="H50" s="14">
        <f t="shared" si="0"/>
        <v>476</v>
      </c>
      <c r="I50" s="15">
        <f>H50+G50-1</f>
        <v>1475</v>
      </c>
    </row>
    <row r="51" spans="1:9" x14ac:dyDescent="0.25">
      <c r="A51" s="30"/>
      <c r="B51" s="17" t="s">
        <v>90</v>
      </c>
      <c r="C51" s="17"/>
      <c r="D51" s="18" t="s">
        <v>7</v>
      </c>
      <c r="E51" s="70">
        <v>20</v>
      </c>
      <c r="F51" s="45" t="s">
        <v>89</v>
      </c>
      <c r="G51" s="36">
        <v>255</v>
      </c>
      <c r="H51" s="14">
        <f t="shared" si="0"/>
        <v>1476</v>
      </c>
      <c r="I51" s="15">
        <f>H51+G51-1</f>
        <v>1730</v>
      </c>
    </row>
    <row r="52" spans="1:9" x14ac:dyDescent="0.25">
      <c r="A52" s="30"/>
      <c r="B52" s="17" t="s">
        <v>59</v>
      </c>
      <c r="C52" s="17"/>
      <c r="D52" s="18" t="s">
        <v>7</v>
      </c>
      <c r="E52" s="70">
        <v>21</v>
      </c>
      <c r="F52" s="41" t="s">
        <v>91</v>
      </c>
      <c r="G52" s="36">
        <v>3</v>
      </c>
      <c r="H52" s="14">
        <f t="shared" si="0"/>
        <v>1731</v>
      </c>
      <c r="I52" s="15">
        <f>H52+G52-1</f>
        <v>1733</v>
      </c>
    </row>
    <row r="53" spans="1:9" x14ac:dyDescent="0.25">
      <c r="A53" s="30"/>
      <c r="B53" s="10" t="s">
        <v>60</v>
      </c>
      <c r="C53" s="10"/>
      <c r="D53" s="12" t="s">
        <v>7</v>
      </c>
      <c r="E53" s="70">
        <v>22</v>
      </c>
      <c r="F53" s="40"/>
      <c r="G53" s="37">
        <v>50</v>
      </c>
      <c r="H53" s="14">
        <f t="shared" si="0"/>
        <v>1734</v>
      </c>
      <c r="I53" s="15">
        <f>H53+G53-1</f>
        <v>1783</v>
      </c>
    </row>
    <row r="54" spans="1:9" x14ac:dyDescent="0.25">
      <c r="A54" s="30"/>
      <c r="B54" s="17" t="s">
        <v>61</v>
      </c>
      <c r="C54" s="17"/>
      <c r="D54" s="18" t="s">
        <v>7</v>
      </c>
      <c r="E54" s="70">
        <v>23</v>
      </c>
      <c r="F54" s="41"/>
      <c r="G54" s="36">
        <v>50</v>
      </c>
      <c r="H54" s="14">
        <f t="shared" si="0"/>
        <v>1784</v>
      </c>
      <c r="I54" s="15">
        <f>H54+G54-1</f>
        <v>1833</v>
      </c>
    </row>
    <row r="55" spans="1:9" x14ac:dyDescent="0.25">
      <c r="A55" s="30"/>
      <c r="B55" s="17" t="s">
        <v>16</v>
      </c>
      <c r="C55" s="17"/>
      <c r="D55" s="18" t="s">
        <v>7</v>
      </c>
      <c r="E55" s="70">
        <v>24</v>
      </c>
      <c r="F55" s="41"/>
      <c r="G55" s="36">
        <v>60</v>
      </c>
      <c r="H55" s="14">
        <f t="shared" si="0"/>
        <v>1834</v>
      </c>
      <c r="I55" s="15">
        <f>H55+G55-1</f>
        <v>1893</v>
      </c>
    </row>
    <row r="56" spans="1:9" x14ac:dyDescent="0.25">
      <c r="A56" s="30"/>
      <c r="B56" s="17" t="s">
        <v>62</v>
      </c>
      <c r="C56" s="17" t="s">
        <v>17</v>
      </c>
      <c r="D56" s="18" t="s">
        <v>11</v>
      </c>
      <c r="E56" s="70">
        <v>25</v>
      </c>
      <c r="F56" s="41" t="s">
        <v>14</v>
      </c>
      <c r="G56" s="36">
        <v>9</v>
      </c>
      <c r="H56" s="14">
        <f t="shared" si="0"/>
        <v>1894</v>
      </c>
      <c r="I56" s="15">
        <f>H56+G56-1</f>
        <v>1902</v>
      </c>
    </row>
    <row r="57" spans="1:9" x14ac:dyDescent="0.25">
      <c r="A57" s="30"/>
      <c r="B57" s="17" t="s">
        <v>63</v>
      </c>
      <c r="C57" s="17"/>
      <c r="D57" s="18" t="s">
        <v>11</v>
      </c>
      <c r="E57" s="70">
        <v>26</v>
      </c>
      <c r="F57" s="41" t="s">
        <v>14</v>
      </c>
      <c r="G57" s="36">
        <v>9</v>
      </c>
      <c r="H57" s="14">
        <f t="shared" si="0"/>
        <v>1903</v>
      </c>
      <c r="I57" s="15">
        <f>H57+G57-1</f>
        <v>1911</v>
      </c>
    </row>
    <row r="58" spans="1:9" x14ac:dyDescent="0.25">
      <c r="A58" s="30"/>
      <c r="B58" s="17" t="s">
        <v>64</v>
      </c>
      <c r="C58" s="17"/>
      <c r="D58" s="18" t="s">
        <v>7</v>
      </c>
      <c r="E58" s="70">
        <v>27</v>
      </c>
      <c r="F58" s="41"/>
      <c r="G58" s="36">
        <v>3</v>
      </c>
      <c r="H58" s="14">
        <f t="shared" si="0"/>
        <v>1912</v>
      </c>
      <c r="I58" s="15">
        <f>H58+G58-1</f>
        <v>1914</v>
      </c>
    </row>
    <row r="59" spans="1:9" x14ac:dyDescent="0.25">
      <c r="A59" s="30"/>
      <c r="B59" s="20" t="s">
        <v>65</v>
      </c>
      <c r="C59" s="20"/>
      <c r="D59" s="21" t="s">
        <v>7</v>
      </c>
      <c r="E59" s="80">
        <v>28</v>
      </c>
      <c r="F59" s="42"/>
      <c r="G59" s="62">
        <v>4</v>
      </c>
      <c r="H59" s="52">
        <f t="shared" si="0"/>
        <v>1915</v>
      </c>
      <c r="I59" s="53">
        <f>H59+G59-1</f>
        <v>1918</v>
      </c>
    </row>
    <row r="60" spans="1:9" x14ac:dyDescent="0.25">
      <c r="A60" s="56"/>
      <c r="B60" s="57"/>
      <c r="C60" s="57"/>
      <c r="D60" s="58"/>
      <c r="E60" s="58"/>
      <c r="F60" s="57"/>
      <c r="G60" s="58"/>
      <c r="H60" s="59"/>
      <c r="I60" s="60"/>
    </row>
    <row r="61" spans="1:9" x14ac:dyDescent="0.25">
      <c r="A61" s="9"/>
      <c r="B61" s="48" t="s">
        <v>92</v>
      </c>
      <c r="C61" s="11" t="s">
        <v>3</v>
      </c>
      <c r="D61" s="12" t="s">
        <v>7</v>
      </c>
      <c r="E61" s="78">
        <v>1</v>
      </c>
      <c r="F61" s="79" t="s">
        <v>4</v>
      </c>
      <c r="G61" s="61">
        <v>2</v>
      </c>
      <c r="H61" s="55">
        <f t="shared" si="0"/>
        <v>1</v>
      </c>
      <c r="I61" s="8">
        <f>H61+G61-1</f>
        <v>2</v>
      </c>
    </row>
    <row r="62" spans="1:9" x14ac:dyDescent="0.25">
      <c r="A62" s="31"/>
      <c r="B62" s="10" t="s">
        <v>93</v>
      </c>
      <c r="C62" s="11" t="s">
        <v>3</v>
      </c>
      <c r="D62" s="12" t="s">
        <v>10</v>
      </c>
      <c r="E62" s="70">
        <v>2</v>
      </c>
      <c r="F62" s="40" t="s">
        <v>128</v>
      </c>
      <c r="G62" s="37">
        <v>4</v>
      </c>
      <c r="H62" s="14">
        <f t="shared" si="0"/>
        <v>3</v>
      </c>
      <c r="I62" s="15">
        <f>H62+G62-1</f>
        <v>6</v>
      </c>
    </row>
    <row r="63" spans="1:9" x14ac:dyDescent="0.25">
      <c r="A63" s="31"/>
      <c r="B63" s="10" t="s">
        <v>44</v>
      </c>
      <c r="C63" s="11" t="s">
        <v>3</v>
      </c>
      <c r="D63" s="12" t="s">
        <v>7</v>
      </c>
      <c r="E63" s="71">
        <v>3</v>
      </c>
      <c r="F63" s="40" t="s">
        <v>129</v>
      </c>
      <c r="G63" s="37">
        <v>30</v>
      </c>
      <c r="H63" s="14">
        <f t="shared" si="0"/>
        <v>7</v>
      </c>
      <c r="I63" s="15">
        <f>H63+G63-1</f>
        <v>36</v>
      </c>
    </row>
    <row r="64" spans="1:9" x14ac:dyDescent="0.25">
      <c r="A64" s="16"/>
      <c r="B64" s="17" t="s">
        <v>94</v>
      </c>
      <c r="C64" s="29" t="s">
        <v>3</v>
      </c>
      <c r="D64" s="18" t="s">
        <v>7</v>
      </c>
      <c r="E64" s="70">
        <v>4</v>
      </c>
      <c r="F64" s="41" t="s">
        <v>130</v>
      </c>
      <c r="G64" s="36">
        <v>35</v>
      </c>
      <c r="H64" s="14">
        <f t="shared" si="0"/>
        <v>37</v>
      </c>
      <c r="I64" s="15">
        <f>H64+G64-1</f>
        <v>71</v>
      </c>
    </row>
    <row r="65" spans="1:9" x14ac:dyDescent="0.25">
      <c r="A65" s="16"/>
      <c r="B65" s="17" t="s">
        <v>95</v>
      </c>
      <c r="C65" s="17"/>
      <c r="D65" s="18" t="s">
        <v>7</v>
      </c>
      <c r="E65" s="70">
        <v>5</v>
      </c>
      <c r="F65" s="41" t="s">
        <v>131</v>
      </c>
      <c r="G65" s="36">
        <v>30</v>
      </c>
      <c r="H65" s="14">
        <f t="shared" si="0"/>
        <v>72</v>
      </c>
      <c r="I65" s="15">
        <f>H65+G65-1</f>
        <v>101</v>
      </c>
    </row>
    <row r="66" spans="1:9" x14ac:dyDescent="0.25">
      <c r="A66" s="16"/>
      <c r="B66" s="17" t="s">
        <v>96</v>
      </c>
      <c r="C66" s="17"/>
      <c r="D66" s="18" t="s">
        <v>7</v>
      </c>
      <c r="E66" s="70">
        <v>6</v>
      </c>
      <c r="F66" s="41" t="s">
        <v>132</v>
      </c>
      <c r="G66" s="36">
        <v>50</v>
      </c>
      <c r="H66" s="14">
        <f t="shared" si="0"/>
        <v>102</v>
      </c>
      <c r="I66" s="15">
        <f>H66+G66-1</f>
        <v>151</v>
      </c>
    </row>
    <row r="67" spans="1:9" x14ac:dyDescent="0.25">
      <c r="A67" s="31"/>
      <c r="B67" s="17" t="s">
        <v>151</v>
      </c>
      <c r="C67" s="29"/>
      <c r="D67" s="18" t="s">
        <v>7</v>
      </c>
      <c r="E67" s="70">
        <v>7</v>
      </c>
      <c r="F67" s="41" t="s">
        <v>133</v>
      </c>
      <c r="G67" s="36">
        <v>20</v>
      </c>
      <c r="H67" s="14">
        <f t="shared" si="0"/>
        <v>152</v>
      </c>
      <c r="I67" s="15">
        <f>H67+G67-1</f>
        <v>171</v>
      </c>
    </row>
    <row r="68" spans="1:9" x14ac:dyDescent="0.25">
      <c r="A68" s="9"/>
      <c r="B68" s="17" t="s">
        <v>152</v>
      </c>
      <c r="C68" s="17"/>
      <c r="D68" s="18" t="s">
        <v>7</v>
      </c>
      <c r="E68" s="70">
        <v>8</v>
      </c>
      <c r="F68" s="41" t="s">
        <v>134</v>
      </c>
      <c r="G68" s="36">
        <v>20</v>
      </c>
      <c r="H68" s="14">
        <f t="shared" si="0"/>
        <v>172</v>
      </c>
      <c r="I68" s="15">
        <f>H68+G68-1</f>
        <v>191</v>
      </c>
    </row>
    <row r="69" spans="1:9" x14ac:dyDescent="0.25">
      <c r="A69" s="9"/>
      <c r="B69" s="17" t="s">
        <v>97</v>
      </c>
      <c r="C69" s="17"/>
      <c r="D69" s="18" t="s">
        <v>11</v>
      </c>
      <c r="E69" s="70">
        <v>9</v>
      </c>
      <c r="F69" s="41" t="s">
        <v>135</v>
      </c>
      <c r="G69" s="36">
        <v>9</v>
      </c>
      <c r="H69" s="14">
        <f t="shared" si="0"/>
        <v>192</v>
      </c>
      <c r="I69" s="15">
        <f>H69+G69-1</f>
        <v>200</v>
      </c>
    </row>
    <row r="70" spans="1:9" x14ac:dyDescent="0.25">
      <c r="A70" s="9"/>
      <c r="B70" s="17" t="s">
        <v>98</v>
      </c>
      <c r="C70" s="17"/>
      <c r="D70" s="27" t="s">
        <v>8</v>
      </c>
      <c r="E70" s="70">
        <v>10</v>
      </c>
      <c r="F70" s="41" t="s">
        <v>136</v>
      </c>
      <c r="G70" s="36">
        <v>1</v>
      </c>
      <c r="H70" s="14">
        <f t="shared" si="0"/>
        <v>201</v>
      </c>
      <c r="I70" s="15">
        <f>H70+G70-1</f>
        <v>201</v>
      </c>
    </row>
    <row r="71" spans="1:9" x14ac:dyDescent="0.25">
      <c r="A71" s="9"/>
      <c r="B71" s="17" t="s">
        <v>99</v>
      </c>
      <c r="C71" s="17"/>
      <c r="D71" s="18" t="s">
        <v>11</v>
      </c>
      <c r="E71" s="70">
        <v>11</v>
      </c>
      <c r="F71" s="41" t="s">
        <v>137</v>
      </c>
      <c r="G71" s="36">
        <v>9</v>
      </c>
      <c r="H71" s="14">
        <f t="shared" si="0"/>
        <v>202</v>
      </c>
      <c r="I71" s="15">
        <f>H71+G71-1</f>
        <v>210</v>
      </c>
    </row>
    <row r="72" spans="1:9" x14ac:dyDescent="0.25">
      <c r="A72" s="9"/>
      <c r="B72" s="17" t="s">
        <v>100</v>
      </c>
      <c r="C72" s="17"/>
      <c r="D72" s="18" t="s">
        <v>11</v>
      </c>
      <c r="E72" s="70">
        <v>12</v>
      </c>
      <c r="F72" s="41" t="s">
        <v>138</v>
      </c>
      <c r="G72" s="36">
        <v>9</v>
      </c>
      <c r="H72" s="14">
        <f t="shared" si="0"/>
        <v>211</v>
      </c>
      <c r="I72" s="15">
        <f>H72+G72-1</f>
        <v>219</v>
      </c>
    </row>
    <row r="73" spans="1:9" x14ac:dyDescent="0.25">
      <c r="A73" s="9" t="s">
        <v>4</v>
      </c>
      <c r="B73" s="17" t="s">
        <v>101</v>
      </c>
      <c r="C73" s="17"/>
      <c r="D73" s="27" t="s">
        <v>8</v>
      </c>
      <c r="E73" s="70">
        <v>13</v>
      </c>
      <c r="F73" s="41" t="s">
        <v>136</v>
      </c>
      <c r="G73" s="36">
        <v>1</v>
      </c>
      <c r="H73" s="14">
        <f t="shared" si="0"/>
        <v>220</v>
      </c>
      <c r="I73" s="15">
        <f>H73+G73-1</f>
        <v>220</v>
      </c>
    </row>
    <row r="74" spans="1:9" x14ac:dyDescent="0.25">
      <c r="A74" s="16" t="s">
        <v>39</v>
      </c>
      <c r="B74" s="17" t="s">
        <v>102</v>
      </c>
      <c r="C74" s="17"/>
      <c r="D74" s="18" t="s">
        <v>11</v>
      </c>
      <c r="E74" s="70">
        <v>14</v>
      </c>
      <c r="F74" s="41" t="s">
        <v>138</v>
      </c>
      <c r="G74" s="36">
        <v>9</v>
      </c>
      <c r="H74" s="14">
        <f t="shared" ref="H74:H100" si="1">I73+1</f>
        <v>221</v>
      </c>
      <c r="I74" s="15">
        <f>H74+G74-1</f>
        <v>229</v>
      </c>
    </row>
    <row r="75" spans="1:9" x14ac:dyDescent="0.25">
      <c r="A75" s="16" t="s">
        <v>40</v>
      </c>
      <c r="B75" s="17" t="s">
        <v>103</v>
      </c>
      <c r="C75" s="17"/>
      <c r="D75" s="27" t="s">
        <v>8</v>
      </c>
      <c r="E75" s="70">
        <v>15</v>
      </c>
      <c r="F75" s="41" t="s">
        <v>139</v>
      </c>
      <c r="G75" s="36">
        <v>1</v>
      </c>
      <c r="H75" s="14">
        <f t="shared" si="1"/>
        <v>230</v>
      </c>
      <c r="I75" s="15">
        <f>H75+G75-1</f>
        <v>230</v>
      </c>
    </row>
    <row r="76" spans="1:9" x14ac:dyDescent="0.25">
      <c r="A76" s="16" t="s">
        <v>41</v>
      </c>
      <c r="B76" s="17" t="s">
        <v>5</v>
      </c>
      <c r="C76" s="17"/>
      <c r="D76" s="18" t="s">
        <v>11</v>
      </c>
      <c r="E76" s="70">
        <v>16</v>
      </c>
      <c r="F76" s="41" t="s">
        <v>138</v>
      </c>
      <c r="G76" s="36">
        <v>9</v>
      </c>
      <c r="H76" s="14">
        <f t="shared" si="1"/>
        <v>231</v>
      </c>
      <c r="I76" s="15">
        <f>H76+G76-1</f>
        <v>239</v>
      </c>
    </row>
    <row r="77" spans="1:9" x14ac:dyDescent="0.25">
      <c r="A77" s="9"/>
      <c r="B77" s="17" t="s">
        <v>104</v>
      </c>
      <c r="C77" s="17"/>
      <c r="D77" s="27" t="s">
        <v>8</v>
      </c>
      <c r="E77" s="70">
        <v>17</v>
      </c>
      <c r="F77" s="41" t="s">
        <v>140</v>
      </c>
      <c r="G77" s="36">
        <v>1</v>
      </c>
      <c r="H77" s="14">
        <f t="shared" si="1"/>
        <v>240</v>
      </c>
      <c r="I77" s="15">
        <f>H77+G77-1</f>
        <v>240</v>
      </c>
    </row>
    <row r="78" spans="1:9" x14ac:dyDescent="0.25">
      <c r="A78" s="9"/>
      <c r="B78" s="17" t="s">
        <v>105</v>
      </c>
      <c r="C78" s="17"/>
      <c r="D78" s="18" t="s">
        <v>9</v>
      </c>
      <c r="E78" s="70">
        <v>18</v>
      </c>
      <c r="F78" s="41" t="s">
        <v>87</v>
      </c>
      <c r="G78" s="36">
        <v>8</v>
      </c>
      <c r="H78" s="14">
        <f t="shared" si="1"/>
        <v>241</v>
      </c>
      <c r="I78" s="15">
        <f>H78+G78-1</f>
        <v>248</v>
      </c>
    </row>
    <row r="79" spans="1:9" x14ac:dyDescent="0.25">
      <c r="A79" s="9"/>
      <c r="B79" s="17" t="s">
        <v>106</v>
      </c>
      <c r="C79" s="17"/>
      <c r="D79" s="18" t="s">
        <v>9</v>
      </c>
      <c r="E79" s="70">
        <v>19</v>
      </c>
      <c r="F79" s="41" t="s">
        <v>87</v>
      </c>
      <c r="G79" s="36">
        <v>8</v>
      </c>
      <c r="H79" s="14">
        <f t="shared" si="1"/>
        <v>249</v>
      </c>
      <c r="I79" s="15">
        <f>H79+G79-1</f>
        <v>256</v>
      </c>
    </row>
    <row r="80" spans="1:9" s="28" customFormat="1" ht="45" x14ac:dyDescent="0.25">
      <c r="A80" s="32"/>
      <c r="B80" s="25" t="s">
        <v>107</v>
      </c>
      <c r="C80" s="26"/>
      <c r="D80" s="27" t="s">
        <v>10</v>
      </c>
      <c r="E80" s="70">
        <v>20</v>
      </c>
      <c r="F80" s="67" t="s">
        <v>141</v>
      </c>
      <c r="G80" s="64">
        <v>4</v>
      </c>
      <c r="H80" s="14">
        <f t="shared" si="1"/>
        <v>257</v>
      </c>
      <c r="I80" s="15">
        <f>H80+G80-1</f>
        <v>260</v>
      </c>
    </row>
    <row r="81" spans="1:9" s="28" customFormat="1" ht="30" x14ac:dyDescent="0.25">
      <c r="A81" s="32"/>
      <c r="B81" s="25" t="s">
        <v>108</v>
      </c>
      <c r="C81" s="26"/>
      <c r="D81" s="27" t="s">
        <v>7</v>
      </c>
      <c r="E81" s="70">
        <v>21</v>
      </c>
      <c r="F81" s="67" t="s">
        <v>142</v>
      </c>
      <c r="G81" s="64">
        <v>40</v>
      </c>
      <c r="H81" s="14">
        <f t="shared" si="1"/>
        <v>261</v>
      </c>
      <c r="I81" s="15">
        <f>H81+G81-1</f>
        <v>300</v>
      </c>
    </row>
    <row r="82" spans="1:9" s="28" customFormat="1" ht="60" x14ac:dyDescent="0.25">
      <c r="A82" s="32"/>
      <c r="B82" s="25" t="s">
        <v>109</v>
      </c>
      <c r="C82" s="33" t="s">
        <v>127</v>
      </c>
      <c r="D82" s="27" t="s">
        <v>10</v>
      </c>
      <c r="E82" s="70">
        <v>22</v>
      </c>
      <c r="F82" s="67" t="s">
        <v>144</v>
      </c>
      <c r="G82" s="64">
        <v>4</v>
      </c>
      <c r="H82" s="14">
        <f t="shared" si="1"/>
        <v>301</v>
      </c>
      <c r="I82" s="15">
        <f>H82+G82-1</f>
        <v>304</v>
      </c>
    </row>
    <row r="83" spans="1:9" s="28" customFormat="1" ht="30" x14ac:dyDescent="0.25">
      <c r="A83" s="32"/>
      <c r="B83" s="25" t="s">
        <v>110</v>
      </c>
      <c r="C83" s="26"/>
      <c r="D83" s="27" t="s">
        <v>7</v>
      </c>
      <c r="E83" s="70">
        <v>23</v>
      </c>
      <c r="F83" s="67" t="s">
        <v>143</v>
      </c>
      <c r="G83" s="64">
        <v>40</v>
      </c>
      <c r="H83" s="14">
        <f t="shared" si="1"/>
        <v>305</v>
      </c>
      <c r="I83" s="15">
        <f>H83+G83-1</f>
        <v>344</v>
      </c>
    </row>
    <row r="84" spans="1:9" s="28" customFormat="1" ht="60" x14ac:dyDescent="0.2">
      <c r="A84" s="32"/>
      <c r="B84" s="25" t="s">
        <v>111</v>
      </c>
      <c r="C84" s="26"/>
      <c r="D84" s="27" t="s">
        <v>12</v>
      </c>
      <c r="E84" s="68">
        <v>24</v>
      </c>
      <c r="F84" s="67" t="s">
        <v>145</v>
      </c>
      <c r="G84" s="64">
        <v>9</v>
      </c>
      <c r="H84" s="14">
        <f t="shared" si="1"/>
        <v>345</v>
      </c>
      <c r="I84" s="15">
        <f>H84+G84-1</f>
        <v>353</v>
      </c>
    </row>
    <row r="85" spans="1:9" s="28" customFormat="1" ht="30" x14ac:dyDescent="0.25">
      <c r="A85" s="32"/>
      <c r="B85" s="25" t="s">
        <v>112</v>
      </c>
      <c r="C85" s="26"/>
      <c r="D85" s="27" t="s">
        <v>7</v>
      </c>
      <c r="E85" s="70">
        <v>25</v>
      </c>
      <c r="F85" s="67" t="s">
        <v>146</v>
      </c>
      <c r="G85" s="64">
        <v>40</v>
      </c>
      <c r="H85" s="14">
        <f t="shared" si="1"/>
        <v>354</v>
      </c>
      <c r="I85" s="15">
        <f>H85+G85-1</f>
        <v>393</v>
      </c>
    </row>
    <row r="86" spans="1:9" s="28" customFormat="1" ht="30" x14ac:dyDescent="0.2">
      <c r="A86" s="32"/>
      <c r="B86" s="34" t="s">
        <v>113</v>
      </c>
      <c r="C86" s="25"/>
      <c r="D86" s="27" t="s">
        <v>7</v>
      </c>
      <c r="E86" s="71">
        <v>26</v>
      </c>
      <c r="F86" s="67" t="s">
        <v>147</v>
      </c>
      <c r="G86" s="64">
        <v>20</v>
      </c>
      <c r="H86" s="14">
        <f t="shared" si="1"/>
        <v>394</v>
      </c>
      <c r="I86" s="15">
        <f>H86+G86-1</f>
        <v>413</v>
      </c>
    </row>
    <row r="87" spans="1:9" s="28" customFormat="1" x14ac:dyDescent="0.25">
      <c r="A87" s="32"/>
      <c r="B87" s="35" t="s">
        <v>114</v>
      </c>
      <c r="C87" s="25"/>
      <c r="D87" s="27" t="s">
        <v>10</v>
      </c>
      <c r="E87" s="70">
        <v>27</v>
      </c>
      <c r="F87" s="67" t="s">
        <v>148</v>
      </c>
      <c r="G87" s="64">
        <v>4</v>
      </c>
      <c r="H87" s="14">
        <f t="shared" si="1"/>
        <v>414</v>
      </c>
      <c r="I87" s="15">
        <f>H87+G87-1</f>
        <v>417</v>
      </c>
    </row>
    <row r="88" spans="1:9" s="28" customFormat="1" x14ac:dyDescent="0.25">
      <c r="A88" s="32"/>
      <c r="B88" s="35" t="s">
        <v>115</v>
      </c>
      <c r="C88" s="25"/>
      <c r="D88" s="27" t="s">
        <v>10</v>
      </c>
      <c r="E88" s="70">
        <v>28</v>
      </c>
      <c r="F88" s="67" t="s">
        <v>148</v>
      </c>
      <c r="G88" s="64">
        <v>4</v>
      </c>
      <c r="H88" s="14">
        <f t="shared" si="1"/>
        <v>418</v>
      </c>
      <c r="I88" s="15">
        <f>H88+G88-1</f>
        <v>421</v>
      </c>
    </row>
    <row r="89" spans="1:9" s="28" customFormat="1" x14ac:dyDescent="0.25">
      <c r="A89" s="32"/>
      <c r="B89" s="35" t="s">
        <v>116</v>
      </c>
      <c r="C89" s="25"/>
      <c r="D89" s="18" t="s">
        <v>12</v>
      </c>
      <c r="E89" s="70">
        <v>29</v>
      </c>
      <c r="F89" s="67" t="s">
        <v>149</v>
      </c>
      <c r="G89" s="64">
        <v>9</v>
      </c>
      <c r="H89" s="14">
        <f t="shared" si="1"/>
        <v>422</v>
      </c>
      <c r="I89" s="15">
        <f>H89+G89-1</f>
        <v>430</v>
      </c>
    </row>
    <row r="90" spans="1:9" s="28" customFormat="1" x14ac:dyDescent="0.25">
      <c r="A90" s="32"/>
      <c r="B90" s="35" t="s">
        <v>117</v>
      </c>
      <c r="C90" s="25"/>
      <c r="D90" s="18" t="s">
        <v>13</v>
      </c>
      <c r="E90" s="70">
        <v>30</v>
      </c>
      <c r="F90" s="67" t="s">
        <v>150</v>
      </c>
      <c r="G90" s="64">
        <v>10</v>
      </c>
      <c r="H90" s="14">
        <f t="shared" si="1"/>
        <v>431</v>
      </c>
      <c r="I90" s="15">
        <f>H90+G90-1</f>
        <v>440</v>
      </c>
    </row>
    <row r="91" spans="1:9" s="28" customFormat="1" x14ac:dyDescent="0.25">
      <c r="A91" s="32"/>
      <c r="B91" s="35" t="s">
        <v>118</v>
      </c>
      <c r="C91" s="25"/>
      <c r="D91" s="18" t="s">
        <v>13</v>
      </c>
      <c r="E91" s="70">
        <v>31</v>
      </c>
      <c r="F91" s="67" t="s">
        <v>118</v>
      </c>
      <c r="G91" s="64">
        <v>10</v>
      </c>
      <c r="H91" s="14">
        <f t="shared" si="1"/>
        <v>441</v>
      </c>
      <c r="I91" s="15">
        <f>H91+G91-1</f>
        <v>450</v>
      </c>
    </row>
    <row r="92" spans="1:9" s="28" customFormat="1" ht="315" x14ac:dyDescent="0.25">
      <c r="A92" s="32"/>
      <c r="B92" s="34" t="s">
        <v>119</v>
      </c>
      <c r="C92" s="26" t="s">
        <v>3</v>
      </c>
      <c r="D92" s="27" t="s">
        <v>10</v>
      </c>
      <c r="E92" s="70">
        <v>32</v>
      </c>
      <c r="F92" s="66" t="s">
        <v>153</v>
      </c>
      <c r="G92" s="64">
        <v>2</v>
      </c>
      <c r="H92" s="14">
        <f t="shared" si="1"/>
        <v>451</v>
      </c>
      <c r="I92" s="15">
        <f>H92+G92-1</f>
        <v>452</v>
      </c>
    </row>
    <row r="93" spans="1:9" x14ac:dyDescent="0.25">
      <c r="B93" s="19" t="s">
        <v>120</v>
      </c>
      <c r="C93" s="19"/>
      <c r="D93" s="36" t="s">
        <v>7</v>
      </c>
      <c r="E93" s="70">
        <v>33</v>
      </c>
      <c r="F93" s="41" t="s">
        <v>89</v>
      </c>
      <c r="G93" s="36">
        <v>255</v>
      </c>
      <c r="H93" s="14">
        <f t="shared" si="1"/>
        <v>453</v>
      </c>
      <c r="I93" s="15">
        <f>H93+G93-1</f>
        <v>707</v>
      </c>
    </row>
    <row r="94" spans="1:9" x14ac:dyDescent="0.25">
      <c r="A94" s="30"/>
      <c r="B94" s="19" t="s">
        <v>121</v>
      </c>
      <c r="C94" s="19"/>
      <c r="D94" s="36" t="s">
        <v>13</v>
      </c>
      <c r="E94" s="70">
        <v>34</v>
      </c>
      <c r="F94" s="41" t="s">
        <v>154</v>
      </c>
      <c r="G94" s="36">
        <v>50</v>
      </c>
      <c r="H94" s="14">
        <f t="shared" si="1"/>
        <v>708</v>
      </c>
      <c r="I94" s="15">
        <f>H94+G94-1</f>
        <v>757</v>
      </c>
    </row>
    <row r="95" spans="1:9" x14ac:dyDescent="0.25">
      <c r="B95" s="17" t="s">
        <v>47</v>
      </c>
      <c r="C95" s="17"/>
      <c r="D95" s="18" t="s">
        <v>7</v>
      </c>
      <c r="E95" s="70">
        <v>35</v>
      </c>
      <c r="F95" s="41" t="s">
        <v>155</v>
      </c>
      <c r="G95" s="36">
        <v>30</v>
      </c>
      <c r="H95" s="14">
        <f>I94+1</f>
        <v>758</v>
      </c>
      <c r="I95" s="15">
        <f>H95+G95-1</f>
        <v>787</v>
      </c>
    </row>
    <row r="96" spans="1:9" x14ac:dyDescent="0.25">
      <c r="A96" s="30"/>
      <c r="B96" s="13" t="s">
        <v>122</v>
      </c>
      <c r="C96" s="13"/>
      <c r="D96" s="37" t="s">
        <v>7</v>
      </c>
      <c r="E96" s="70">
        <v>36</v>
      </c>
      <c r="F96" s="40" t="s">
        <v>156</v>
      </c>
      <c r="G96" s="37">
        <v>30</v>
      </c>
      <c r="H96" s="14">
        <f t="shared" si="1"/>
        <v>788</v>
      </c>
      <c r="I96" s="15">
        <f>H96+G96-1</f>
        <v>817</v>
      </c>
    </row>
    <row r="97" spans="1:9" x14ac:dyDescent="0.25">
      <c r="A97" s="30"/>
      <c r="B97" s="13" t="s">
        <v>123</v>
      </c>
      <c r="C97" s="13"/>
      <c r="D97" s="37" t="s">
        <v>7</v>
      </c>
      <c r="E97" s="70">
        <v>37</v>
      </c>
      <c r="F97" s="40" t="s">
        <v>157</v>
      </c>
      <c r="G97" s="37">
        <v>30</v>
      </c>
      <c r="H97" s="14">
        <f t="shared" si="1"/>
        <v>818</v>
      </c>
      <c r="I97" s="15">
        <f>H97+G97-1</f>
        <v>847</v>
      </c>
    </row>
    <row r="98" spans="1:9" x14ac:dyDescent="0.25">
      <c r="A98" s="30"/>
      <c r="B98" s="13" t="s">
        <v>124</v>
      </c>
      <c r="C98" s="13"/>
      <c r="D98" s="37" t="s">
        <v>7</v>
      </c>
      <c r="E98" s="70">
        <v>38</v>
      </c>
      <c r="F98" s="40" t="s">
        <v>158</v>
      </c>
      <c r="G98" s="37">
        <v>30</v>
      </c>
      <c r="H98" s="14">
        <f t="shared" si="1"/>
        <v>848</v>
      </c>
      <c r="I98" s="15">
        <f>H98+G98-1</f>
        <v>877</v>
      </c>
    </row>
    <row r="99" spans="1:9" x14ac:dyDescent="0.25">
      <c r="A99" s="30"/>
      <c r="B99" s="13" t="s">
        <v>125</v>
      </c>
      <c r="C99" s="13"/>
      <c r="D99" s="37" t="s">
        <v>7</v>
      </c>
      <c r="E99" s="70">
        <v>39</v>
      </c>
      <c r="F99" s="40" t="s">
        <v>159</v>
      </c>
      <c r="G99" s="37">
        <v>30</v>
      </c>
      <c r="H99" s="14">
        <f t="shared" si="1"/>
        <v>878</v>
      </c>
      <c r="I99" s="15">
        <f>H99+G99-1</f>
        <v>907</v>
      </c>
    </row>
    <row r="100" spans="1:9" ht="15.75" thickBot="1" x14ac:dyDescent="0.3">
      <c r="A100" s="38"/>
      <c r="B100" s="13" t="s">
        <v>126</v>
      </c>
      <c r="C100" s="13"/>
      <c r="D100" s="37" t="s">
        <v>7</v>
      </c>
      <c r="E100" s="70">
        <v>40</v>
      </c>
      <c r="F100" s="40" t="s">
        <v>160</v>
      </c>
      <c r="G100" s="37">
        <v>20</v>
      </c>
      <c r="H100" s="22">
        <f t="shared" si="1"/>
        <v>908</v>
      </c>
      <c r="I100" s="23">
        <f>H100+G100-1</f>
        <v>927</v>
      </c>
    </row>
    <row r="101" spans="1:9" x14ac:dyDescent="0.25">
      <c r="B101" s="82"/>
      <c r="C101" s="82"/>
      <c r="D101" s="2"/>
      <c r="E101" s="2"/>
      <c r="F101" s="2"/>
      <c r="G101" s="2"/>
      <c r="H101" s="83"/>
      <c r="I101" s="83"/>
    </row>
  </sheetData>
  <mergeCells count="1">
    <mergeCell ref="B2:F5"/>
  </mergeCells>
  <phoneticPr fontId="0" type="noConversion"/>
  <printOptions horizontalCentered="1"/>
  <pageMargins left="0.38" right="0.23622047244094491" top="0.36" bottom="0.37" header="0.51181102362204722" footer="0.32"/>
  <pageSetup paperSize="9" scale="73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AA4EAA9C54B24DAF5535810938265A" ma:contentTypeVersion="13" ma:contentTypeDescription="Crée un document." ma:contentTypeScope="" ma:versionID="19bb0039739f191931f2adc70d8573c2">
  <xsd:schema xmlns:xsd="http://www.w3.org/2001/XMLSchema" xmlns:xs="http://www.w3.org/2001/XMLSchema" xmlns:p="http://schemas.microsoft.com/office/2006/metadata/properties" xmlns:ns2="1faeb436-3a31-4024-9e86-0f4dca2ccec2" xmlns:ns3="5dfecb89-e6d8-47f6-be2b-038fb37b7bfe" targetNamespace="http://schemas.microsoft.com/office/2006/metadata/properties" ma:root="true" ma:fieldsID="ad4efd6f331ce34f7368aebb491ae61f" ns2:_="" ns3:_="">
    <xsd:import namespace="1faeb436-3a31-4024-9e86-0f4dca2ccec2"/>
    <xsd:import namespace="5dfecb89-e6d8-47f6-be2b-038fb37b7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b436-3a31-4024-9e86-0f4dca2cc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4995b74-c26a-4b27-b590-f8cadbfa4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ecb89-e6d8-47f6-be2b-038fb37b7bf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fab158-a5bc-4fb5-b2ff-b10a8fe06ccb}" ma:internalName="TaxCatchAll" ma:showField="CatchAllData" ma:web="5dfecb89-e6d8-47f6-be2b-038fb37b7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aeb436-3a31-4024-9e86-0f4dca2ccec2">
      <Terms xmlns="http://schemas.microsoft.com/office/infopath/2007/PartnerControls"/>
    </lcf76f155ced4ddcb4097134ff3c332f>
    <TaxCatchAll xmlns="5dfecb89-e6d8-47f6-be2b-038fb37b7bfe" xsi:nil="true"/>
  </documentManagement>
</p:properties>
</file>

<file path=customXml/itemProps1.xml><?xml version="1.0" encoding="utf-8"?>
<ds:datastoreItem xmlns:ds="http://schemas.openxmlformats.org/officeDocument/2006/customXml" ds:itemID="{33C2F0C3-1386-4524-96A8-077657901AB9}"/>
</file>

<file path=customXml/itemProps2.xml><?xml version="1.0" encoding="utf-8"?>
<ds:datastoreItem xmlns:ds="http://schemas.openxmlformats.org/officeDocument/2006/customXml" ds:itemID="{C87144E7-4FC1-467A-8A08-095C09426203}"/>
</file>

<file path=customXml/itemProps3.xml><?xml version="1.0" encoding="utf-8"?>
<ds:datastoreItem xmlns:ds="http://schemas.openxmlformats.org/officeDocument/2006/customXml" ds:itemID="{A9B99256-E93C-4FB4-AEC4-805E28EF42D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matrice</vt:lpstr>
      <vt:lpstr>matrice!Zone_d_impression</vt:lpstr>
    </vt:vector>
  </TitlesOfParts>
  <Company>STOCK-IT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Poste1</dc:creator>
  <cp:lastModifiedBy>Sébastien ROBIN</cp:lastModifiedBy>
  <cp:lastPrinted>2007-10-25T08:21:10Z</cp:lastPrinted>
  <dcterms:created xsi:type="dcterms:W3CDTF">2002-11-28T14:41:31Z</dcterms:created>
  <dcterms:modified xsi:type="dcterms:W3CDTF">2024-10-25T12:02:20Z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0x01010095AA4EAA9C54B24DAF5535810938265A</vt:lpwstr>
  </property>
</Properties>
</file>