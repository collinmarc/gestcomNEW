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349310omp.sharepoint.com/sites/BUWMS/Documents partages/PMO/Plan de test/EDI Worker/Matrice refonte 2024/Matrice EDI refonte 2024/"/>
    </mc:Choice>
  </mc:AlternateContent>
  <xr:revisionPtr revIDLastSave="1" documentId="13_ncr:1_{341C408B-C0EA-4257-A272-3CAD15D152C5}" xr6:coauthVersionLast="47" xr6:coauthVersionMax="47" xr10:uidLastSave="{F18C6ACF-28C4-4D34-9DC6-F1FD3C543BD3}"/>
  <bookViews>
    <workbookView xWindow="28680" yWindow="-120" windowWidth="29040" windowHeight="15720" xr2:uid="{4FE79A9C-E5AB-463A-8671-1A856C40CD9C}"/>
  </bookViews>
  <sheets>
    <sheet name="matrice" sheetId="1" r:id="rId1"/>
  </sheets>
  <definedNames>
    <definedName name="_xlnm.Print_Area" localSheetId="0">matrice!$A$2:$J$115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 l="1"/>
  <c r="H18" i="1" s="1"/>
  <c r="I18" i="1" s="1"/>
  <c r="H19" i="1" s="1"/>
  <c r="I19" i="1" s="1"/>
  <c r="H20" i="1" s="1"/>
  <c r="I20" i="1" s="1"/>
  <c r="H21" i="1" s="1"/>
  <c r="I21" i="1" s="1"/>
  <c r="H22" i="1" s="1"/>
  <c r="I22" i="1" s="1"/>
  <c r="H23" i="1" s="1"/>
  <c r="I23" i="1" s="1"/>
  <c r="H24" i="1" s="1"/>
  <c r="I24" i="1" s="1"/>
  <c r="H25" i="1" s="1"/>
  <c r="I25" i="1" s="1"/>
  <c r="H26" i="1" s="1"/>
  <c r="I26" i="1" s="1"/>
  <c r="I28" i="1"/>
  <c r="H29" i="1" s="1"/>
  <c r="I29" i="1" s="1"/>
  <c r="I31" i="1"/>
  <c r="H32" i="1" s="1"/>
  <c r="I32" i="1" s="1"/>
  <c r="H33" i="1" s="1"/>
  <c r="I33" i="1" s="1"/>
  <c r="H34" i="1" s="1"/>
  <c r="I34" i="1" s="1"/>
  <c r="H35" i="1" s="1"/>
  <c r="I35" i="1" s="1"/>
  <c r="H36" i="1" s="1"/>
  <c r="I36" i="1" s="1"/>
  <c r="H37" i="1" s="1"/>
  <c r="I37" i="1" s="1"/>
  <c r="H38" i="1" s="1"/>
  <c r="I38" i="1" s="1"/>
  <c r="H39" i="1" s="1"/>
  <c r="I39" i="1" s="1"/>
  <c r="H40" i="1" s="1"/>
  <c r="I40" i="1" s="1"/>
  <c r="H41" i="1" s="1"/>
  <c r="I41" i="1" s="1"/>
  <c r="H42" i="1" s="1"/>
  <c r="I42" i="1" s="1"/>
  <c r="H43" i="1" s="1"/>
  <c r="I43" i="1" s="1"/>
  <c r="H44" i="1" s="1"/>
  <c r="I44" i="1" s="1"/>
  <c r="H45" i="1" s="1"/>
  <c r="I45" i="1" s="1"/>
  <c r="H46" i="1" s="1"/>
  <c r="I46" i="1" s="1"/>
  <c r="H47" i="1" s="1"/>
  <c r="I47" i="1" s="1"/>
  <c r="H48" i="1" s="1"/>
  <c r="I48" i="1" s="1"/>
  <c r="H49" i="1" s="1"/>
  <c r="I49" i="1" s="1"/>
  <c r="H50" i="1" s="1"/>
  <c r="I50" i="1" s="1"/>
  <c r="H51" i="1" s="1"/>
  <c r="I51" i="1" s="1"/>
  <c r="H52" i="1" s="1"/>
  <c r="I52" i="1" s="1"/>
  <c r="H53" i="1" s="1"/>
  <c r="I53" i="1" s="1"/>
  <c r="H54" i="1" s="1"/>
  <c r="I54" i="1" s="1"/>
  <c r="H55" i="1" s="1"/>
  <c r="I55" i="1" s="1"/>
  <c r="H56" i="1" s="1"/>
  <c r="I56" i="1" s="1"/>
  <c r="H57" i="1" s="1"/>
  <c r="I57" i="1" s="1"/>
  <c r="H58" i="1" s="1"/>
  <c r="I58" i="1" s="1"/>
  <c r="H60" i="1"/>
  <c r="I60" i="1" s="1"/>
  <c r="H61" i="1" s="1"/>
  <c r="I61" i="1" s="1"/>
  <c r="H62" i="1" s="1"/>
  <c r="I62" i="1" s="1"/>
  <c r="H63" i="1" s="1"/>
  <c r="I63" i="1" s="1"/>
  <c r="H64" i="1" s="1"/>
  <c r="I64" i="1" s="1"/>
  <c r="H65" i="1" s="1"/>
  <c r="I65" i="1" s="1"/>
  <c r="H66" i="1" s="1"/>
  <c r="I66" i="1" s="1"/>
  <c r="H67" i="1" s="1"/>
  <c r="I67" i="1" s="1"/>
  <c r="H68" i="1" s="1"/>
  <c r="I68" i="1" s="1"/>
  <c r="H69" i="1" s="1"/>
  <c r="I69" i="1" s="1"/>
  <c r="H70" i="1" s="1"/>
  <c r="I70" i="1" s="1"/>
  <c r="H71" i="1" s="1"/>
  <c r="I71" i="1" s="1"/>
  <c r="H72" i="1" s="1"/>
  <c r="I72" i="1" s="1"/>
  <c r="H73" i="1" s="1"/>
  <c r="I73" i="1" s="1"/>
  <c r="H74" i="1" s="1"/>
  <c r="I74" i="1" s="1"/>
  <c r="H75" i="1" s="1"/>
  <c r="I75" i="1" s="1"/>
  <c r="H76" i="1" s="1"/>
  <c r="I76" i="1" s="1"/>
  <c r="H77" i="1" s="1"/>
  <c r="I77" i="1" s="1"/>
  <c r="H78" i="1" s="1"/>
  <c r="I78" i="1" s="1"/>
  <c r="H79" i="1" s="1"/>
  <c r="I79" i="1" s="1"/>
  <c r="H80" i="1" s="1"/>
  <c r="I80" i="1" s="1"/>
  <c r="H81" i="1" s="1"/>
  <c r="I81" i="1" s="1"/>
  <c r="H82" i="1" s="1"/>
  <c r="I82" i="1" s="1"/>
  <c r="H83" i="1" s="1"/>
  <c r="I83" i="1" s="1"/>
  <c r="H84" i="1" s="1"/>
  <c r="I84" i="1" s="1"/>
  <c r="H85" i="1" s="1"/>
  <c r="I85" i="1" s="1"/>
  <c r="H86" i="1" s="1"/>
  <c r="I86" i="1" s="1"/>
  <c r="H87" i="1" s="1"/>
  <c r="I87" i="1" s="1"/>
  <c r="H88" i="1" s="1"/>
  <c r="I88" i="1" s="1"/>
  <c r="H89" i="1" s="1"/>
  <c r="I89" i="1" s="1"/>
  <c r="H90" i="1" s="1"/>
  <c r="I90" i="1" s="1"/>
  <c r="H91" i="1" s="1"/>
  <c r="I91" i="1" s="1"/>
  <c r="H92" i="1" s="1"/>
  <c r="I92" i="1" s="1"/>
  <c r="H93" i="1" s="1"/>
  <c r="I93" i="1" s="1"/>
  <c r="H94" i="1" s="1"/>
  <c r="I94" i="1" s="1"/>
  <c r="H95" i="1" s="1"/>
  <c r="I95" i="1" s="1"/>
  <c r="H96" i="1" s="1"/>
  <c r="I96" i="1" s="1"/>
  <c r="H97" i="1" s="1"/>
  <c r="I97" i="1" s="1"/>
  <c r="H98" i="1" s="1"/>
  <c r="I98" i="1" s="1"/>
  <c r="H99" i="1" s="1"/>
  <c r="I99" i="1" s="1"/>
  <c r="I7" i="1"/>
  <c r="H8" i="1" s="1"/>
  <c r="I8" i="1" s="1"/>
  <c r="H9" i="1" s="1"/>
  <c r="I9" i="1" s="1"/>
  <c r="H10" i="1" s="1"/>
  <c r="I10" i="1" s="1"/>
  <c r="H11" i="1" s="1"/>
  <c r="I11" i="1" s="1"/>
  <c r="H12" i="1" s="1"/>
  <c r="I12" i="1" s="1"/>
  <c r="H13" i="1" s="1"/>
  <c r="I13" i="1" s="1"/>
  <c r="H14" i="1" s="1"/>
  <c r="I14" i="1" s="1"/>
  <c r="H15" i="1" s="1"/>
  <c r="I15" i="1" s="1"/>
</calcChain>
</file>

<file path=xl/sharedStrings.xml><?xml version="1.0" encoding="utf-8"?>
<sst xmlns="http://schemas.openxmlformats.org/spreadsheetml/2006/main" count="329" uniqueCount="199">
  <si>
    <t>MOUVEMENT DE STOCK</t>
  </si>
  <si>
    <r>
      <t xml:space="preserve">Fichier texte encodage Utf-8 permettant l'intégration de mouvement de stock vers le WMS.
Structure utilisée également pour les confirmations de mouvement envoyées par le WMS.
Chaque champs est séparé par le caractère pipe '|' et tous doivent être présents même si non utilisés.
Chaque ligne doit se terminer par le caractère saut de ligne + fin de ligne CR/LF.
Les champs ne doivent pas dépasser la taille maximale autorisée.
Les champs ne sont pas de taille fixe.
</t>
    </r>
    <r>
      <rPr>
        <b/>
        <sz val="9"/>
        <rFont val="Arial"/>
        <family val="2"/>
      </rPr>
      <t>Il est fortement recommandé de créer un fichier par mouvement. 
Si vous choisissez de regrouper plusieurs mouvements dans un même fichier et qu'une erreur survient 
(comme un dépassement de longueur de champ ou une structure incorrecte), l'intégralité du fichier sera rejeté.</t>
    </r>
  </si>
  <si>
    <t>CODE 
IDENTIFIANT ligne</t>
  </si>
  <si>
    <t>Nom du champ</t>
  </si>
  <si>
    <t>Obligatoire</t>
  </si>
  <si>
    <t>Type</t>
  </si>
  <si>
    <t>Position</t>
  </si>
  <si>
    <t>Description</t>
  </si>
  <si>
    <t>Taille</t>
  </si>
  <si>
    <t>Début</t>
  </si>
  <si>
    <t>Fin</t>
  </si>
  <si>
    <r>
      <t xml:space="preserve">Code identifiant ligne: </t>
    </r>
    <r>
      <rPr>
        <b/>
        <sz val="11"/>
        <color indexed="10"/>
        <rFont val="Calibri"/>
        <family val="2"/>
        <scheme val="minor"/>
      </rPr>
      <t>FR</t>
    </r>
  </si>
  <si>
    <t>X</t>
  </si>
  <si>
    <t>char</t>
  </si>
  <si>
    <t>FR</t>
  </si>
  <si>
    <t>Code</t>
  </si>
  <si>
    <t>Code du client  (Code compta dans le WMS)</t>
  </si>
  <si>
    <t xml:space="preserve">Nom </t>
  </si>
  <si>
    <t>Nom du client</t>
  </si>
  <si>
    <t>Adresse 1</t>
  </si>
  <si>
    <t>1 ere ligne</t>
  </si>
  <si>
    <t>Adresse 2</t>
  </si>
  <si>
    <t>Adresse 3</t>
  </si>
  <si>
    <t>Code postal</t>
  </si>
  <si>
    <t>Ville</t>
  </si>
  <si>
    <t>Pays</t>
  </si>
  <si>
    <r>
      <t xml:space="preserve">Code identifiant ligne: </t>
    </r>
    <r>
      <rPr>
        <b/>
        <sz val="11"/>
        <color indexed="10"/>
        <rFont val="Calibri"/>
        <family val="2"/>
        <scheme val="minor"/>
      </rPr>
      <t>CL</t>
    </r>
  </si>
  <si>
    <t xml:space="preserve">X </t>
  </si>
  <si>
    <t>CL</t>
  </si>
  <si>
    <r>
      <t xml:space="preserve">Code du  destinataire  (Code compta dans le WMS), </t>
    </r>
    <r>
      <rPr>
        <sz val="11"/>
        <color rgb="FFFF0000"/>
        <rFont val="Calibri"/>
        <family val="2"/>
        <scheme val="minor"/>
      </rPr>
      <t>obligatoire si sortie de stock</t>
    </r>
    <r>
      <rPr>
        <sz val="11"/>
        <rFont val="Calibri"/>
        <family val="2"/>
        <scheme val="minor"/>
      </rPr>
      <t xml:space="preserve"> </t>
    </r>
  </si>
  <si>
    <t>Nom du destinataire</t>
  </si>
  <si>
    <t>2 eme ligne</t>
  </si>
  <si>
    <t>Commentaires</t>
  </si>
  <si>
    <t>Commentaires texte libre</t>
  </si>
  <si>
    <t>ST</t>
  </si>
  <si>
    <r>
      <t xml:space="preserve">Code identifiant ligne: </t>
    </r>
    <r>
      <rPr>
        <b/>
        <sz val="11"/>
        <color indexed="10"/>
        <rFont val="Calibri"/>
        <family val="2"/>
        <scheme val="minor"/>
      </rPr>
      <t>ST</t>
    </r>
  </si>
  <si>
    <t>3 eme ligne</t>
  </si>
  <si>
    <t>Code du stockeur (prestataire logistique)  (Code compta dans le WMS)</t>
  </si>
  <si>
    <r>
      <t xml:space="preserve">Code identifiant ligne: </t>
    </r>
    <r>
      <rPr>
        <b/>
        <sz val="11"/>
        <color indexed="10"/>
        <rFont val="Calibri"/>
        <family val="2"/>
        <scheme val="minor"/>
      </rPr>
      <t>BL</t>
    </r>
  </si>
  <si>
    <t>BL</t>
  </si>
  <si>
    <t>Numéro du BL</t>
  </si>
  <si>
    <t>Identifiant unique du BL</t>
  </si>
  <si>
    <t>Type BL</t>
  </si>
  <si>
    <t>tinyint</t>
  </si>
  <si>
    <r>
      <t>BL D'ENTREE</t>
    </r>
    <r>
      <rPr>
        <b/>
        <sz val="11"/>
        <color indexed="12"/>
        <rFont val="Calibri"/>
        <family val="2"/>
        <scheme val="minor"/>
      </rPr>
      <t xml:space="preserve">
</t>
    </r>
    <r>
      <rPr>
        <b/>
        <sz val="11"/>
        <color indexed="8"/>
        <rFont val="Calibri"/>
        <family val="2"/>
        <scheme val="minor"/>
      </rPr>
      <t>03</t>
    </r>
    <r>
      <rPr>
        <sz val="11"/>
        <color indexed="8"/>
        <rFont val="Calibri"/>
        <family val="2"/>
        <scheme val="minor"/>
      </rPr>
      <t xml:space="preserve"> = entrée venant du fournisseur
</t>
    </r>
    <r>
      <rPr>
        <b/>
        <sz val="11"/>
        <color indexed="8"/>
        <rFont val="Calibri"/>
        <family val="2"/>
        <scheme val="minor"/>
      </rPr>
      <t>04</t>
    </r>
    <r>
      <rPr>
        <sz val="11"/>
        <color indexed="8"/>
        <rFont val="Calibri"/>
        <family val="2"/>
        <scheme val="minor"/>
      </rPr>
      <t xml:space="preserve"> = entrée venant du client (retour marchandise)</t>
    </r>
    <r>
      <rPr>
        <sz val="11"/>
        <rFont val="Calibri"/>
        <family val="2"/>
        <scheme val="minor"/>
      </rPr>
      <t xml:space="preserve">
</t>
    </r>
    <r>
      <rPr>
        <b/>
        <u/>
        <sz val="11"/>
        <color indexed="12"/>
        <rFont val="Calibri"/>
        <family val="2"/>
        <scheme val="minor"/>
      </rPr>
      <t xml:space="preserve">BL DE SORTIE  - bordereau partiel </t>
    </r>
    <r>
      <rPr>
        <b/>
        <u/>
        <sz val="11"/>
        <color indexed="10"/>
        <rFont val="Calibri"/>
        <family val="2"/>
        <scheme val="minor"/>
      </rPr>
      <t>interdit</t>
    </r>
    <r>
      <rPr>
        <b/>
        <u/>
        <sz val="11"/>
        <color indexed="12"/>
        <rFont val="Calibri"/>
        <family val="2"/>
        <scheme val="minor"/>
      </rPr>
      <t xml:space="preserve"> </t>
    </r>
    <r>
      <rPr>
        <sz val="11"/>
        <color indexed="8"/>
        <rFont val="Calibri"/>
        <family val="2"/>
        <scheme val="minor"/>
      </rPr>
      <t>(bordereau non traité si une des lignes est manquante en stock ou si la quantité est insuffisante)</t>
    </r>
    <r>
      <rPr>
        <sz val="11"/>
        <rFont val="Calibri"/>
        <family val="2"/>
        <scheme val="minor"/>
      </rPr>
      <t xml:space="preserve">
</t>
    </r>
    <r>
      <rPr>
        <b/>
        <sz val="11"/>
        <rFont val="Calibri"/>
        <family val="2"/>
        <scheme val="minor"/>
      </rPr>
      <t>01</t>
    </r>
    <r>
      <rPr>
        <sz val="11"/>
        <rFont val="Calibri"/>
        <family val="2"/>
        <scheme val="minor"/>
      </rPr>
      <t xml:space="preserve"> = sortie vers fournisseur (retour marchandise)
</t>
    </r>
    <r>
      <rPr>
        <b/>
        <sz val="11"/>
        <rFont val="Calibri"/>
        <family val="2"/>
        <scheme val="minor"/>
      </rPr>
      <t>02</t>
    </r>
    <r>
      <rPr>
        <sz val="11"/>
        <rFont val="Calibri"/>
        <family val="2"/>
        <scheme val="minor"/>
      </rPr>
      <t xml:space="preserve"> = sortie vers client
</t>
    </r>
    <r>
      <rPr>
        <b/>
        <u/>
        <sz val="11"/>
        <color indexed="12"/>
        <rFont val="Calibri"/>
        <family val="2"/>
        <scheme val="minor"/>
      </rPr>
      <t xml:space="preserve">BL DE SORTIE - bordereau partiel autorisé </t>
    </r>
    <r>
      <rPr>
        <sz val="11"/>
        <color indexed="8"/>
        <rFont val="Calibri"/>
        <family val="2"/>
        <scheme val="minor"/>
      </rPr>
      <t xml:space="preserve">(bordereau traité même si une des lignes est manquante en stock ou si la quantité est insuffisante, </t>
    </r>
    <r>
      <rPr>
        <u/>
        <sz val="11"/>
        <color indexed="8"/>
        <rFont val="Calibri"/>
        <family val="2"/>
        <scheme val="minor"/>
      </rPr>
      <t>renseigné dans ce cas le champ type de ligne dans DT en conséquence</t>
    </r>
    <r>
      <rPr>
        <sz val="11"/>
        <color indexed="8"/>
        <rFont val="Calibri"/>
        <family val="2"/>
        <scheme val="minor"/>
      </rPr>
      <t>)</t>
    </r>
    <r>
      <rPr>
        <b/>
        <u/>
        <sz val="11"/>
        <color indexed="12"/>
        <rFont val="Calibri"/>
        <family val="2"/>
        <scheme val="minor"/>
      </rPr>
      <t xml:space="preserve">
</t>
    </r>
    <r>
      <rPr>
        <b/>
        <sz val="11"/>
        <rFont val="Calibri"/>
        <family val="2"/>
        <scheme val="minor"/>
      </rPr>
      <t>07</t>
    </r>
    <r>
      <rPr>
        <sz val="11"/>
        <rFont val="Calibri"/>
        <family val="2"/>
        <scheme val="minor"/>
      </rPr>
      <t xml:space="preserve"> = sortie vers fournisseur (retour marchandise) - partiel autorisé
</t>
    </r>
    <r>
      <rPr>
        <b/>
        <sz val="11"/>
        <rFont val="Calibri"/>
        <family val="2"/>
        <scheme val="minor"/>
      </rPr>
      <t>08</t>
    </r>
    <r>
      <rPr>
        <sz val="11"/>
        <rFont val="Calibri"/>
        <family val="2"/>
        <scheme val="minor"/>
      </rPr>
      <t xml:space="preserve"> = sortie vers client - partiel autorisé</t>
    </r>
    <r>
      <rPr>
        <b/>
        <u/>
        <sz val="11"/>
        <color indexed="12"/>
        <rFont val="Calibri"/>
        <family val="2"/>
        <scheme val="minor"/>
      </rPr>
      <t xml:space="preserve">
BL BLOCAGE/DEBLOCAGE
</t>
    </r>
    <r>
      <rPr>
        <b/>
        <sz val="11"/>
        <rFont val="Calibri"/>
        <family val="2"/>
        <scheme val="minor"/>
      </rPr>
      <t>09</t>
    </r>
    <r>
      <rPr>
        <sz val="11"/>
        <rFont val="Calibri"/>
        <family val="2"/>
        <scheme val="minor"/>
      </rPr>
      <t xml:space="preserve"> = mouvement de blocage/deblocage de marchandise</t>
    </r>
  </si>
  <si>
    <t>Date livraison</t>
  </si>
  <si>
    <t>datetime</t>
  </si>
  <si>
    <t>AAAAMMJJ</t>
  </si>
  <si>
    <t>Numéro de commande</t>
  </si>
  <si>
    <t>Date commande</t>
  </si>
  <si>
    <t>Provenance</t>
  </si>
  <si>
    <t>Numéro véhicule</t>
  </si>
  <si>
    <t>Numéro du véhicule</t>
  </si>
  <si>
    <t>4 eme ligne</t>
  </si>
  <si>
    <t>Chauffeur</t>
  </si>
  <si>
    <t>Nom du chauffeur</t>
  </si>
  <si>
    <t>Code Transporteur</t>
  </si>
  <si>
    <t>Identifiant du transporteur effectuant le transport de la marchandise (Code compta dans le WMS)</t>
  </si>
  <si>
    <t>Nom Transporteur</t>
  </si>
  <si>
    <t>Nom du transporteur</t>
  </si>
  <si>
    <t>Nom Destinataire</t>
  </si>
  <si>
    <r>
      <t>Nom du destinataire (</t>
    </r>
    <r>
      <rPr>
        <u/>
        <sz val="11"/>
        <rFont val="Calibri"/>
        <family val="2"/>
        <scheme val="minor"/>
      </rPr>
      <t>si différent de celle du client compléter les champs ci dessous</t>
    </r>
    <r>
      <rPr>
        <sz val="11"/>
        <rFont val="Calibri"/>
        <family val="2"/>
        <scheme val="minor"/>
      </rPr>
      <t>)</t>
    </r>
  </si>
  <si>
    <t xml:space="preserve">Adresse Destinataire 1 </t>
  </si>
  <si>
    <t xml:space="preserve">Adresse du destinataire 1 </t>
  </si>
  <si>
    <t>Adresse Destinataire 2</t>
  </si>
  <si>
    <t xml:space="preserve">Adresse du destinataire 2 </t>
  </si>
  <si>
    <t>Adresse Destinataire 3</t>
  </si>
  <si>
    <t xml:space="preserve">Adresse du destinataire 3 </t>
  </si>
  <si>
    <t>Code postal Destinataire</t>
  </si>
  <si>
    <t>Code postal du destinataire</t>
  </si>
  <si>
    <t>Ville Destinataire</t>
  </si>
  <si>
    <t xml:space="preserve">Ville du destinataire </t>
  </si>
  <si>
    <t>Pays Destinataire</t>
  </si>
  <si>
    <t>Pays du destinataire</t>
  </si>
  <si>
    <t>Commentaire texte libre</t>
  </si>
  <si>
    <t>Autres</t>
  </si>
  <si>
    <t>Informations diverses</t>
  </si>
  <si>
    <t>Qualifiant date</t>
  </si>
  <si>
    <t>Qualifiant date (DAD , DLD, DFD)</t>
  </si>
  <si>
    <t>Code Adresse Destinataire</t>
  </si>
  <si>
    <t>Identifiant unique de l'adresse du destinataire</t>
  </si>
  <si>
    <t>Téléphone Destinataire 1</t>
  </si>
  <si>
    <t>Téléphone du destinataire</t>
  </si>
  <si>
    <t>Email</t>
  </si>
  <si>
    <t>Adresse mail du destinataire</t>
  </si>
  <si>
    <t>Valeur contre remboursement</t>
  </si>
  <si>
    <t xml:space="preserve"> </t>
  </si>
  <si>
    <t>numéric</t>
  </si>
  <si>
    <t>FORMAT 99999,9999</t>
  </si>
  <si>
    <t>Valeur déclarée</t>
  </si>
  <si>
    <t>Code pays Destinataire</t>
  </si>
  <si>
    <t>Code pays iso du destinataire</t>
  </si>
  <si>
    <t>Code livraison</t>
  </si>
  <si>
    <t xml:space="preserve">Code livraison </t>
  </si>
  <si>
    <r>
      <t xml:space="preserve">Code identifiant ligne: </t>
    </r>
    <r>
      <rPr>
        <b/>
        <sz val="11"/>
        <color indexed="10"/>
        <rFont val="Calibri"/>
        <family val="2"/>
        <scheme val="minor"/>
      </rPr>
      <t>DT</t>
    </r>
  </si>
  <si>
    <t>DT</t>
  </si>
  <si>
    <t>Numero de ligne</t>
  </si>
  <si>
    <t>int</t>
  </si>
  <si>
    <t>S'incrémente à chaque ligne</t>
  </si>
  <si>
    <t>Numéro BL</t>
  </si>
  <si>
    <t>Rappel du numéro de BL indiqué sur la ligne BL</t>
  </si>
  <si>
    <t>Code produit</t>
  </si>
  <si>
    <t>Identifiant du produit, l'unicité est faite avec le champ DT indice produit position 40</t>
  </si>
  <si>
    <t>Code EAN</t>
  </si>
  <si>
    <t>Code EAN produit</t>
  </si>
  <si>
    <t>Désignation</t>
  </si>
  <si>
    <t>Désignation du produit</t>
  </si>
  <si>
    <t>N° LOT</t>
  </si>
  <si>
    <t xml:space="preserve">	Numéro de lot, fabrication, série…</t>
  </si>
  <si>
    <t>N° Palette</t>
  </si>
  <si>
    <t>Numéro de la palette (identique sur plusieurs lignes pour une palette hétérogène par exemple)</t>
  </si>
  <si>
    <t>Prix unitaire</t>
  </si>
  <si>
    <t>Prix unitaire selon unité FORMAT 99999,9999</t>
  </si>
  <si>
    <t>Unité prix</t>
  </si>
  <si>
    <t>0= unite de regroupement (palette), 1 = unité de conditionnement (carton) 2 =unité de vente (article)</t>
  </si>
  <si>
    <t>Remise</t>
  </si>
  <si>
    <t>taux de remise à appliquer sur le prix FORMAT 99999,9999</t>
  </si>
  <si>
    <t>Poids Net</t>
  </si>
  <si>
    <t>Unité poids net</t>
  </si>
  <si>
    <t xml:space="preserve">autant de </t>
  </si>
  <si>
    <t>poids Brut</t>
  </si>
  <si>
    <t xml:space="preserve">lignes que </t>
  </si>
  <si>
    <t>Unité poids brut</t>
  </si>
  <si>
    <t>nécessaire</t>
  </si>
  <si>
    <t>Volume</t>
  </si>
  <si>
    <t>Unité volume</t>
  </si>
  <si>
    <t>DLUO</t>
  </si>
  <si>
    <t>Date expiration</t>
  </si>
  <si>
    <t>UR (1) annoncée</t>
  </si>
  <si>
    <r>
      <t xml:space="preserve">Nombre d'unité de regroupement (palette)
</t>
    </r>
    <r>
      <rPr>
        <u/>
        <sz val="11"/>
        <rFont val="Calibri"/>
        <family val="2"/>
        <scheme val="minor"/>
      </rPr>
      <t>ne peut être à zéro si entrée</t>
    </r>
    <r>
      <rPr>
        <sz val="11"/>
        <rFont val="Calibri"/>
        <family val="2"/>
        <scheme val="minor"/>
      </rPr>
      <t xml:space="preserve">
peut être à zéro si sortie ET picking (Qté UC et/ou UC &lt;&gt;0)</t>
    </r>
  </si>
  <si>
    <t>Libellé UR</t>
  </si>
  <si>
    <r>
      <t xml:space="preserve">Libellé de l'unité de regroupement
 </t>
    </r>
    <r>
      <rPr>
        <b/>
        <sz val="11"/>
        <rFont val="Calibri"/>
        <family val="2"/>
        <scheme val="minor"/>
      </rPr>
      <t>(obligatoire si entrée en stock et nouveau produit)</t>
    </r>
  </si>
  <si>
    <t>UC (2) annoncée</t>
  </si>
  <si>
    <t>X 
1 des 3 minimum</t>
  </si>
  <si>
    <r>
      <t xml:space="preserve">Nombre d'unité de conditionnement (cartons, colis..) 
Nombre </t>
    </r>
    <r>
      <rPr>
        <b/>
        <sz val="11"/>
        <rFont val="Calibri"/>
        <family val="2"/>
        <scheme val="minor"/>
      </rPr>
      <t>par palette</t>
    </r>
    <r>
      <rPr>
        <b/>
        <u/>
        <sz val="11"/>
        <rFont val="Calibri"/>
        <family val="2"/>
        <scheme val="minor"/>
      </rPr>
      <t>, 
peut être à zéro en entrée, ou en sortie si sortie en picking à l'article</t>
    </r>
    <r>
      <rPr>
        <b/>
        <sz val="11"/>
        <rFont val="Calibri"/>
        <family val="2"/>
        <scheme val="minor"/>
      </rPr>
      <t xml:space="preserve">
</t>
    </r>
    <r>
      <rPr>
        <sz val="11"/>
        <rFont val="Calibri"/>
        <family val="2"/>
        <scheme val="minor"/>
      </rPr>
      <t xml:space="preserve">si &gt; 0 le nombre UV (ci dessous) doit obligatoirement être renseigné </t>
    </r>
  </si>
  <si>
    <r>
      <rPr>
        <b/>
        <u/>
        <sz val="11"/>
        <rFont val="Calibri"/>
        <family val="2"/>
        <scheme val="minor"/>
      </rPr>
      <t xml:space="preserve">Définition d'un produit dans la base STOCK IT:	</t>
    </r>
    <r>
      <rPr>
        <b/>
        <sz val="11"/>
        <rFont val="Calibri"/>
        <family val="2"/>
        <scheme val="minor"/>
      </rPr>
      <t xml:space="preserve">			
En dehors du code, désignation..., 3 niveaux décrivent le produit					
1er niveau: UR (unité de regroupement) ex: palette, container, Roll….					
2eme niveau : UC (unité de conditionnement sur UR) ex: Cartons, sacs, sachets, colis …. Si ce champ est renseigné UV doit être renséigné		
3eme niveau: UV (unité de vente contenu dans l'UC) ex: piéces, articles, unités, cartons.</t>
    </r>
  </si>
  <si>
    <t>libellé UC</t>
  </si>
  <si>
    <r>
      <t xml:space="preserve">Libellé de l'unité de CONDITIONNEMENT
 </t>
    </r>
    <r>
      <rPr>
        <b/>
        <sz val="11"/>
        <rFont val="Calibri"/>
        <family val="2"/>
        <scheme val="minor"/>
      </rPr>
      <t>(obligatoire si UC annoncée renseigné, si entrée en stock et nouveau produit)</t>
    </r>
  </si>
  <si>
    <t>UV (3) annoncée</t>
  </si>
  <si>
    <t>decimal</t>
  </si>
  <si>
    <r>
      <t xml:space="preserve">Nombre d'unité de vente (articles, pièces…)
Nombre </t>
    </r>
    <r>
      <rPr>
        <b/>
        <sz val="11"/>
        <rFont val="Calibri"/>
        <family val="2"/>
        <scheme val="minor"/>
      </rPr>
      <t xml:space="preserve">par carton, obligatoire si UC annoncée &lt;&gt; 0)
</t>
    </r>
    <r>
      <rPr>
        <sz val="11"/>
        <rFont val="Calibri"/>
        <family val="2"/>
        <scheme val="minor"/>
      </rPr>
      <t>peut être à zéro si on gére que des palettes sans conditionnement ni articles
FORMAT 999999,99</t>
    </r>
  </si>
  <si>
    <t>Exemple:</t>
  </si>
  <si>
    <t>libellé UV</t>
  </si>
  <si>
    <r>
      <t xml:space="preserve">Libellé de l'unité de Vente
 </t>
    </r>
    <r>
      <rPr>
        <b/>
        <sz val="11"/>
        <rFont val="Calibri"/>
        <family val="2"/>
        <scheme val="minor"/>
      </rPr>
      <t>(obligatoire si UC annoncée renseigné,si entrée en stock et nouveau produit)</t>
    </r>
  </si>
  <si>
    <t>Code article</t>
  </si>
  <si>
    <t>libellé UR</t>
  </si>
  <si>
    <t>UC</t>
  </si>
  <si>
    <t>UV</t>
  </si>
  <si>
    <t>N° du carton</t>
  </si>
  <si>
    <t>Une ligne par identifiant carton. Tous les cartons présents sur une même palette devront avoir le même identifiant palette.</t>
  </si>
  <si>
    <t>CODE1</t>
  </si>
  <si>
    <t>palette</t>
  </si>
  <si>
    <t>gestion à la palette sans notion du contenu de la palette</t>
  </si>
  <si>
    <t>Manquants UR</t>
  </si>
  <si>
    <t>Pour retour après validation  quantité manquante</t>
  </si>
  <si>
    <t>CODE2</t>
  </si>
  <si>
    <t>sacs</t>
  </si>
  <si>
    <t>palette de 60 sacs</t>
  </si>
  <si>
    <t>Manquants UC</t>
  </si>
  <si>
    <t xml:space="preserve">Pour retour après validation  quantité manquante </t>
  </si>
  <si>
    <t>CODE3</t>
  </si>
  <si>
    <t>fut</t>
  </si>
  <si>
    <t>litres</t>
  </si>
  <si>
    <t>fût de 1000 litres</t>
  </si>
  <si>
    <t>Manquants UV</t>
  </si>
  <si>
    <t>Pour retour après validation  quantité manquante FORMAT 999999,99</t>
  </si>
  <si>
    <t>CODE4</t>
  </si>
  <si>
    <t>Kilos</t>
  </si>
  <si>
    <t>soit 150 kilos sur la palette (donnée calculée par STOCKIT)</t>
  </si>
  <si>
    <t xml:space="preserve">Code blocage </t>
  </si>
  <si>
    <t>Char</t>
  </si>
  <si>
    <t>Identifiant code blocage</t>
  </si>
  <si>
    <t>CODE5</t>
  </si>
  <si>
    <t>carton</t>
  </si>
  <si>
    <t>Bouteilles</t>
  </si>
  <si>
    <t>soit 600 bouteilles sur la palette (donnée calculée par STOCKIT)</t>
  </si>
  <si>
    <t>Description blocage</t>
  </si>
  <si>
    <t>Description du blocage</t>
  </si>
  <si>
    <t>CODE6</t>
  </si>
  <si>
    <t>container</t>
  </si>
  <si>
    <t>cartons</t>
  </si>
  <si>
    <t>soit 12000 cartons dans le container (donnée calculée par STOCKIT)</t>
  </si>
  <si>
    <t>Type de ligne</t>
  </si>
  <si>
    <r>
      <t>Ligne d'entrée</t>
    </r>
    <r>
      <rPr>
        <sz val="11"/>
        <rFont val="Calibri"/>
        <family val="2"/>
        <scheme val="minor"/>
      </rPr>
      <t xml:space="preserve">
</t>
    </r>
    <r>
      <rPr>
        <b/>
        <sz val="11"/>
        <rFont val="Calibri"/>
        <family val="2"/>
        <scheme val="minor"/>
      </rPr>
      <t>00</t>
    </r>
    <r>
      <rPr>
        <sz val="11"/>
        <rFont val="Calibri"/>
        <family val="2"/>
        <scheme val="minor"/>
      </rPr>
      <t xml:space="preserve"> = si entrée en stock
</t>
    </r>
    <r>
      <rPr>
        <b/>
        <u/>
        <sz val="11"/>
        <color indexed="12"/>
        <rFont val="Calibri"/>
        <family val="2"/>
        <scheme val="minor"/>
      </rPr>
      <t>Ligne de sortie si Type BL = 01 ou 02   (bordereau partiel</t>
    </r>
    <r>
      <rPr>
        <b/>
        <u/>
        <sz val="11"/>
        <color indexed="10"/>
        <rFont val="Calibri"/>
        <family val="2"/>
        <scheme val="minor"/>
      </rPr>
      <t xml:space="preserve"> interdit</t>
    </r>
    <r>
      <rPr>
        <b/>
        <u/>
        <sz val="11"/>
        <color indexed="12"/>
        <rFont val="Calibri"/>
        <family val="2"/>
        <scheme val="minor"/>
      </rPr>
      <t>)</t>
    </r>
    <r>
      <rPr>
        <sz val="11"/>
        <rFont val="Calibri"/>
        <family val="2"/>
        <scheme val="minor"/>
      </rPr>
      <t xml:space="preserve">
</t>
    </r>
    <r>
      <rPr>
        <b/>
        <sz val="11"/>
        <rFont val="Calibri"/>
        <family val="2"/>
        <scheme val="minor"/>
      </rPr>
      <t>00</t>
    </r>
    <r>
      <rPr>
        <sz val="11"/>
        <rFont val="Calibri"/>
        <family val="2"/>
        <scheme val="minor"/>
      </rPr>
      <t xml:space="preserve"> = Prélévement imposé, à la condition que le N°pal et/ou le N° de carton et/ou le N° de lot soit renseigné.
</t>
    </r>
    <r>
      <rPr>
        <b/>
        <sz val="11"/>
        <rFont val="Calibri"/>
        <family val="2"/>
        <scheme val="minor"/>
      </rPr>
      <t>01</t>
    </r>
    <r>
      <rPr>
        <sz val="11"/>
        <rFont val="Calibri"/>
        <family val="2"/>
        <scheme val="minor"/>
      </rPr>
      <t xml:space="preserve"> = FIFO sur date d'entrée (la plus ancienne)
</t>
    </r>
    <r>
      <rPr>
        <b/>
        <sz val="11"/>
        <rFont val="Calibri"/>
        <family val="2"/>
        <scheme val="minor"/>
      </rPr>
      <t>02</t>
    </r>
    <r>
      <rPr>
        <sz val="11"/>
        <rFont val="Calibri"/>
        <family val="2"/>
        <scheme val="minor"/>
      </rPr>
      <t xml:space="preserve"> = FIFO sur DLUO (la plus ancienne)
</t>
    </r>
    <r>
      <rPr>
        <b/>
        <sz val="11"/>
        <rFont val="Calibri"/>
        <family val="2"/>
        <scheme val="minor"/>
      </rPr>
      <t>03</t>
    </r>
    <r>
      <rPr>
        <sz val="11"/>
        <rFont val="Calibri"/>
        <family val="2"/>
        <scheme val="minor"/>
      </rPr>
      <t xml:space="preserve"> = FIFO sur N° de lot (le plus petit par ordre croissant)
</t>
    </r>
    <r>
      <rPr>
        <b/>
        <u/>
        <sz val="11"/>
        <color indexed="12"/>
        <rFont val="Calibri"/>
        <family val="2"/>
        <scheme val="minor"/>
      </rPr>
      <t>Ligne de sortie si Type BL = 07 ou 08   (bordereau partiel aurorisé)</t>
    </r>
    <r>
      <rPr>
        <sz val="11"/>
        <rFont val="Calibri"/>
        <family val="2"/>
        <scheme val="minor"/>
      </rPr>
      <t xml:space="preserve">
</t>
    </r>
    <r>
      <rPr>
        <u/>
        <sz val="11"/>
        <color indexed="12"/>
        <rFont val="Calibri"/>
        <family val="2"/>
        <scheme val="minor"/>
      </rPr>
      <t xml:space="preserve">partiel </t>
    </r>
    <r>
      <rPr>
        <u/>
        <sz val="11"/>
        <color indexed="10"/>
        <rFont val="Calibri"/>
        <family val="2"/>
        <scheme val="minor"/>
      </rPr>
      <t>interdit</t>
    </r>
    <r>
      <rPr>
        <u/>
        <sz val="11"/>
        <color indexed="12"/>
        <rFont val="Calibri"/>
        <family val="2"/>
        <scheme val="minor"/>
      </rPr>
      <t xml:space="preserve"> sur la Ligne de sortie </t>
    </r>
    <r>
      <rPr>
        <b/>
        <sz val="11"/>
        <color indexed="12"/>
        <rFont val="Calibri"/>
        <family val="2"/>
        <scheme val="minor"/>
      </rPr>
      <t xml:space="preserve">-  </t>
    </r>
    <r>
      <rPr>
        <sz val="11"/>
        <rFont val="Calibri"/>
        <family val="2"/>
        <scheme val="minor"/>
      </rPr>
      <t xml:space="preserve">(ligne non traité si pas de stock ou si la quantité en stock est insuffisante)
</t>
    </r>
    <r>
      <rPr>
        <b/>
        <sz val="11"/>
        <rFont val="Calibri"/>
        <family val="2"/>
        <scheme val="minor"/>
      </rPr>
      <t>00</t>
    </r>
    <r>
      <rPr>
        <sz val="11"/>
        <rFont val="Calibri"/>
        <family val="2"/>
        <scheme val="minor"/>
      </rPr>
      <t xml:space="preserve"> = Prélévement imposé, à la condition que le N°pal et/ou le N° de carton et/ou le N° de lot soit renseigné.
</t>
    </r>
    <r>
      <rPr>
        <b/>
        <sz val="11"/>
        <rFont val="Calibri"/>
        <family val="2"/>
        <scheme val="minor"/>
      </rPr>
      <t>01</t>
    </r>
    <r>
      <rPr>
        <sz val="11"/>
        <rFont val="Calibri"/>
        <family val="2"/>
        <scheme val="minor"/>
      </rPr>
      <t xml:space="preserve"> = FIFO sur date d'entrée (la plus ancienne)
</t>
    </r>
    <r>
      <rPr>
        <b/>
        <sz val="11"/>
        <rFont val="Calibri"/>
        <family val="2"/>
        <scheme val="minor"/>
      </rPr>
      <t>02</t>
    </r>
    <r>
      <rPr>
        <sz val="11"/>
        <rFont val="Calibri"/>
        <family val="2"/>
        <scheme val="minor"/>
      </rPr>
      <t xml:space="preserve"> = FIFO sur DLUO (la plus ancienne)
</t>
    </r>
    <r>
      <rPr>
        <b/>
        <sz val="11"/>
        <rFont val="Calibri"/>
        <family val="2"/>
        <scheme val="minor"/>
      </rPr>
      <t>03</t>
    </r>
    <r>
      <rPr>
        <sz val="11"/>
        <rFont val="Calibri"/>
        <family val="2"/>
        <scheme val="minor"/>
      </rPr>
      <t xml:space="preserve"> = FIFO sur N° de lot (le plus petit par ordre croissant)
</t>
    </r>
    <r>
      <rPr>
        <u/>
        <sz val="11"/>
        <color indexed="12"/>
        <rFont val="Calibri"/>
        <family val="2"/>
        <scheme val="minor"/>
      </rPr>
      <t>partiel autorisé sur la Ligne de sortie</t>
    </r>
    <r>
      <rPr>
        <sz val="11"/>
        <rFont val="Calibri"/>
        <family val="2"/>
        <scheme val="minor"/>
      </rPr>
      <t xml:space="preserve"> - (ligne traité selon la disponibilité en stock même si inférieure à la quantité demandée)
</t>
    </r>
    <r>
      <rPr>
        <b/>
        <sz val="11"/>
        <rFont val="Calibri"/>
        <family val="2"/>
        <scheme val="minor"/>
      </rPr>
      <t>11</t>
    </r>
    <r>
      <rPr>
        <sz val="11"/>
        <rFont val="Calibri"/>
        <family val="2"/>
        <scheme val="minor"/>
      </rPr>
      <t xml:space="preserve"> = FIFO sur date d'entrée (la plus ancienne)
</t>
    </r>
    <r>
      <rPr>
        <b/>
        <sz val="11"/>
        <rFont val="Calibri"/>
        <family val="2"/>
        <scheme val="minor"/>
      </rPr>
      <t>12</t>
    </r>
    <r>
      <rPr>
        <sz val="11"/>
        <rFont val="Calibri"/>
        <family val="2"/>
        <scheme val="minor"/>
      </rPr>
      <t xml:space="preserve"> = FIFO sur DLUO (la plus ancienne) 
</t>
    </r>
    <r>
      <rPr>
        <b/>
        <sz val="11"/>
        <rFont val="Calibri"/>
        <family val="2"/>
        <scheme val="minor"/>
      </rPr>
      <t>13</t>
    </r>
    <r>
      <rPr>
        <sz val="11"/>
        <rFont val="Calibri"/>
        <family val="2"/>
        <scheme val="minor"/>
      </rPr>
      <t xml:space="preserve"> = FIFO sur N° de lot (le plus petit par ordre croissant) </t>
    </r>
  </si>
  <si>
    <t>Texte libre</t>
  </si>
  <si>
    <t>Famille</t>
  </si>
  <si>
    <t>Code famille produit</t>
  </si>
  <si>
    <t>No Commande</t>
  </si>
  <si>
    <t xml:space="preserve">No de commande ligne </t>
  </si>
  <si>
    <t>Code provenance</t>
  </si>
  <si>
    <t>Code provenance ligne</t>
  </si>
  <si>
    <t>Code destination</t>
  </si>
  <si>
    <t xml:space="preserve">Code destination ligne </t>
  </si>
  <si>
    <t>N° Autre</t>
  </si>
  <si>
    <t>N°Libre</t>
  </si>
  <si>
    <t>Code EAN UC</t>
  </si>
  <si>
    <t>Code EAN carton</t>
  </si>
  <si>
    <t>Indice</t>
  </si>
  <si>
    <t>Identifiant complémentaire du produit, l'unicité est faite avec le champ code produit position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</si>
</sst>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9"/>
      <name val="Arial"/>
    </font>
    <font>
      <sz val="9"/>
      <name val="Arial"/>
      <family val="2"/>
    </font>
    <font>
      <b/>
      <sz val="11"/>
      <color theme="0"/>
      <name val="Calibri"/>
      <family val="2"/>
      <scheme val="minor"/>
    </font>
    <font>
      <sz val="11"/>
      <color theme="0"/>
      <name val="Calibri"/>
      <family val="2"/>
      <scheme val="minor"/>
    </font>
    <font>
      <sz val="11"/>
      <name val="Calibri"/>
      <family val="2"/>
      <scheme val="minor"/>
    </font>
    <font>
      <b/>
      <i/>
      <sz val="11"/>
      <color indexed="57"/>
      <name val="Calibri"/>
      <family val="2"/>
      <scheme val="minor"/>
    </font>
    <font>
      <b/>
      <sz val="11"/>
      <name val="Calibri"/>
      <family val="2"/>
      <scheme val="minor"/>
    </font>
    <font>
      <sz val="11"/>
      <color indexed="22"/>
      <name val="Calibri"/>
      <family val="2"/>
      <scheme val="minor"/>
    </font>
    <font>
      <sz val="11"/>
      <color indexed="8"/>
      <name val="Calibri"/>
      <family val="2"/>
      <scheme val="minor"/>
    </font>
    <font>
      <b/>
      <u/>
      <sz val="11"/>
      <name val="Calibri"/>
      <family val="2"/>
      <scheme val="minor"/>
    </font>
    <font>
      <b/>
      <sz val="11"/>
      <color indexed="10"/>
      <name val="Calibri"/>
      <family val="2"/>
      <scheme val="minor"/>
    </font>
    <font>
      <b/>
      <i/>
      <sz val="11"/>
      <color indexed="10"/>
      <name val="Calibri"/>
      <family val="2"/>
      <scheme val="minor"/>
    </font>
    <font>
      <b/>
      <u/>
      <sz val="11"/>
      <color indexed="12"/>
      <name val="Calibri"/>
      <family val="2"/>
      <scheme val="minor"/>
    </font>
    <font>
      <b/>
      <sz val="11"/>
      <color indexed="12"/>
      <name val="Calibri"/>
      <family val="2"/>
      <scheme val="minor"/>
    </font>
    <font>
      <b/>
      <sz val="11"/>
      <color indexed="8"/>
      <name val="Calibri"/>
      <family val="2"/>
      <scheme val="minor"/>
    </font>
    <font>
      <b/>
      <u/>
      <sz val="11"/>
      <color indexed="10"/>
      <name val="Calibri"/>
      <family val="2"/>
      <scheme val="minor"/>
    </font>
    <font>
      <u/>
      <sz val="11"/>
      <color indexed="8"/>
      <name val="Calibri"/>
      <family val="2"/>
      <scheme val="minor"/>
    </font>
    <font>
      <u/>
      <sz val="11"/>
      <name val="Calibri"/>
      <family val="2"/>
      <scheme val="minor"/>
    </font>
    <font>
      <u/>
      <sz val="11"/>
      <color indexed="12"/>
      <name val="Calibri"/>
      <family val="2"/>
      <scheme val="minor"/>
    </font>
    <font>
      <u/>
      <sz val="11"/>
      <color indexed="10"/>
      <name val="Calibri"/>
      <family val="2"/>
      <scheme val="minor"/>
    </font>
    <font>
      <b/>
      <sz val="14"/>
      <name val="Calibri"/>
      <family val="2"/>
      <scheme val="minor"/>
    </font>
    <font>
      <sz val="11"/>
      <color rgb="FFFF0000"/>
      <name val="Calibri"/>
      <family val="2"/>
      <scheme val="minor"/>
    </font>
    <font>
      <b/>
      <sz val="11"/>
      <color rgb="FFFF0000"/>
      <name val="Calibri"/>
      <family val="2"/>
      <scheme val="minor"/>
    </font>
    <font>
      <b/>
      <sz val="9"/>
      <name val="Arial"/>
      <family val="2"/>
    </font>
  </fonts>
  <fills count="5">
    <fill>
      <patternFill patternType="none"/>
    </fill>
    <fill>
      <patternFill patternType="gray125"/>
    </fill>
    <fill>
      <patternFill patternType="solid">
        <fgColor indexed="22"/>
        <bgColor indexed="64"/>
      </patternFill>
    </fill>
    <fill>
      <patternFill patternType="solid">
        <fgColor theme="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100">
    <xf numFmtId="0" fontId="0" fillId="0" borderId="0" xfId="0"/>
    <xf numFmtId="0" fontId="4" fillId="0" borderId="0" xfId="0" applyFont="1" applyAlignment="1">
      <alignment horizontal="center"/>
    </xf>
    <xf numFmtId="0" fontId="6" fillId="0" borderId="0" xfId="0" applyFont="1" applyAlignment="1">
      <alignment horizontal="center"/>
    </xf>
    <xf numFmtId="0" fontId="4"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6" fillId="0" borderId="5" xfId="0" applyFont="1" applyBorder="1" applyAlignment="1">
      <alignment horizontal="center"/>
    </xf>
    <xf numFmtId="0" fontId="4" fillId="0" borderId="6" xfId="0" applyFont="1" applyBorder="1"/>
    <xf numFmtId="0" fontId="6" fillId="0" borderId="6" xfId="0" applyFont="1" applyBorder="1" applyAlignment="1">
      <alignment horizontal="center"/>
    </xf>
    <xf numFmtId="0" fontId="4" fillId="0" borderId="6" xfId="0" applyFont="1" applyBorder="1" applyAlignment="1">
      <alignment horizontal="center"/>
    </xf>
    <xf numFmtId="0" fontId="4" fillId="0" borderId="10" xfId="0" applyFont="1" applyBorder="1"/>
    <xf numFmtId="0" fontId="4" fillId="0" borderId="2" xfId="0" applyFont="1" applyBorder="1" applyAlignment="1">
      <alignment horizontal="center" vertical="center" wrapText="1"/>
    </xf>
    <xf numFmtId="0" fontId="11" fillId="0" borderId="5"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3" xfId="0" applyFont="1" applyBorder="1"/>
    <xf numFmtId="0" fontId="4" fillId="0" borderId="3" xfId="0" applyFont="1" applyBorder="1" applyAlignment="1">
      <alignment horizontal="center"/>
    </xf>
    <xf numFmtId="0" fontId="11" fillId="0" borderId="5" xfId="0" applyFont="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vertical="center"/>
    </xf>
    <xf numFmtId="0" fontId="6" fillId="0" borderId="1" xfId="0" applyFont="1" applyBorder="1" applyAlignment="1">
      <alignment horizontal="center"/>
    </xf>
    <xf numFmtId="0" fontId="6" fillId="0" borderId="8" xfId="0" applyFont="1" applyBorder="1" applyAlignment="1">
      <alignment horizontal="center"/>
    </xf>
    <xf numFmtId="0" fontId="4" fillId="0" borderId="5" xfId="0" applyFont="1" applyBorder="1"/>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left" vertical="center"/>
    </xf>
    <xf numFmtId="0" fontId="8" fillId="0" borderId="1" xfId="0" applyFont="1" applyBorder="1" applyAlignment="1">
      <alignment horizontal="left" vertical="center"/>
    </xf>
    <xf numFmtId="0" fontId="4" fillId="0" borderId="9" xfId="0" applyFont="1" applyBorder="1" applyAlignment="1">
      <alignment horizontal="center"/>
    </xf>
    <xf numFmtId="0" fontId="4" fillId="0" borderId="10" xfId="0" applyFont="1" applyBorder="1" applyAlignment="1">
      <alignment horizontal="center"/>
    </xf>
    <xf numFmtId="0" fontId="7" fillId="0" borderId="0" xfId="0" applyFont="1" applyAlignment="1">
      <alignment horizontal="center" vertical="center"/>
    </xf>
    <xf numFmtId="0" fontId="20" fillId="0" borderId="0" xfId="0" applyFont="1"/>
    <xf numFmtId="0" fontId="2" fillId="3" borderId="1" xfId="0" applyFont="1" applyFill="1" applyBorder="1" applyAlignment="1">
      <alignment horizontal="center" vertical="center" wrapText="1"/>
    </xf>
    <xf numFmtId="0" fontId="4" fillId="0" borderId="5" xfId="0" applyFont="1" applyBorder="1" applyAlignment="1">
      <alignment horizontal="center"/>
    </xf>
    <xf numFmtId="0" fontId="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2" fillId="3" borderId="1" xfId="0" applyFont="1" applyFill="1" applyBorder="1" applyAlignment="1">
      <alignment horizontal="center" wrapText="1"/>
    </xf>
    <xf numFmtId="0" fontId="4" fillId="0" borderId="4" xfId="0" applyFont="1" applyBorder="1" applyAlignment="1">
      <alignment horizontal="center" vertical="center" wrapText="1"/>
    </xf>
    <xf numFmtId="0" fontId="6" fillId="3" borderId="1" xfId="0" applyFont="1" applyFill="1" applyBorder="1" applyAlignment="1">
      <alignment horizontal="center"/>
    </xf>
    <xf numFmtId="0" fontId="4" fillId="3" borderId="1" xfId="0" applyFont="1" applyFill="1" applyBorder="1"/>
    <xf numFmtId="0" fontId="4" fillId="3" borderId="1" xfId="0" applyFont="1" applyFill="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applyAlignment="1">
      <alignment horizontal="center" vertical="center"/>
    </xf>
    <xf numFmtId="0" fontId="4" fillId="0" borderId="11" xfId="0" applyFont="1" applyBorder="1"/>
    <xf numFmtId="0" fontId="6" fillId="0" borderId="11" xfId="0" applyFont="1" applyBorder="1" applyAlignment="1">
      <alignment horizontal="center"/>
    </xf>
    <xf numFmtId="0" fontId="4" fillId="0" borderId="11" xfId="0" applyFont="1" applyBorder="1" applyAlignment="1">
      <alignment horizontal="center"/>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3" xfId="0" applyFont="1" applyBorder="1" applyAlignment="1">
      <alignment horizont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vertical="center"/>
    </xf>
    <xf numFmtId="0" fontId="4" fillId="4" borderId="0" xfId="0" applyFont="1" applyFill="1"/>
    <xf numFmtId="0" fontId="6" fillId="4" borderId="0" xfId="0" applyFont="1" applyFill="1" applyAlignment="1">
      <alignment horizontal="center"/>
    </xf>
    <xf numFmtId="0" fontId="6" fillId="4" borderId="0" xfId="0" applyFont="1" applyFill="1"/>
    <xf numFmtId="0" fontId="6" fillId="4" borderId="0" xfId="0" applyFont="1" applyFill="1" applyAlignment="1">
      <alignment horizontal="center" vertical="center"/>
    </xf>
    <xf numFmtId="0" fontId="4" fillId="2" borderId="1" xfId="0" applyFont="1" applyFill="1" applyBorder="1" applyAlignment="1">
      <alignment horizontal="center"/>
    </xf>
    <xf numFmtId="0" fontId="8" fillId="2" borderId="1" xfId="0" applyFont="1" applyFill="1" applyBorder="1" applyAlignment="1">
      <alignment horizontal="center"/>
    </xf>
    <xf numFmtId="0" fontId="8" fillId="0" borderId="1" xfId="0" applyFont="1" applyBorder="1" applyAlignment="1">
      <alignment horizontal="center"/>
    </xf>
    <xf numFmtId="0" fontId="4" fillId="4" borderId="0" xfId="0" applyFont="1" applyFill="1" applyAlignment="1">
      <alignment horizontal="center" vertical="center"/>
    </xf>
    <xf numFmtId="0" fontId="22" fillId="0" borderId="6" xfId="0" applyFont="1" applyBorder="1" applyAlignment="1">
      <alignment horizontal="center" vertical="center"/>
    </xf>
    <xf numFmtId="0" fontId="4" fillId="0" borderId="6" xfId="0" applyFont="1" applyBorder="1" applyAlignment="1">
      <alignment horizontal="left" vertical="center" wrapText="1"/>
    </xf>
    <xf numFmtId="0" fontId="2" fillId="3" borderId="13" xfId="0" applyFont="1" applyFill="1" applyBorder="1" applyAlignment="1">
      <alignment horizontal="center" vertical="center" wrapText="1"/>
    </xf>
    <xf numFmtId="0" fontId="10" fillId="0" borderId="9" xfId="0" applyFont="1" applyBorder="1" applyAlignment="1">
      <alignment horizontal="left" vertical="center" wrapText="1"/>
    </xf>
    <xf numFmtId="0" fontId="4" fillId="0" borderId="12" xfId="0" applyFont="1" applyBorder="1"/>
    <xf numFmtId="0" fontId="10" fillId="0" borderId="10" xfId="0" applyFont="1" applyBorder="1"/>
    <xf numFmtId="0" fontId="12" fillId="0" borderId="9" xfId="0" applyFont="1" applyBorder="1" applyAlignment="1">
      <alignment vertical="center" wrapText="1"/>
    </xf>
    <xf numFmtId="0" fontId="4" fillId="0" borderId="9" xfId="0" applyFont="1" applyBorder="1" applyAlignment="1">
      <alignment vertical="center" wrapText="1"/>
    </xf>
    <xf numFmtId="0" fontId="6" fillId="4" borderId="0" xfId="0" applyFont="1" applyFill="1" applyAlignment="1">
      <alignment wrapText="1"/>
    </xf>
    <xf numFmtId="0" fontId="4" fillId="0" borderId="9" xfId="0" applyFont="1" applyBorder="1" applyAlignment="1">
      <alignment vertical="top" wrapText="1"/>
    </xf>
    <xf numFmtId="0" fontId="4" fillId="0" borderId="1" xfId="0" applyFont="1" applyBorder="1" applyAlignment="1">
      <alignment horizontal="center" vertical="top"/>
    </xf>
    <xf numFmtId="0" fontId="4" fillId="2" borderId="1" xfId="0" applyFont="1" applyFill="1" applyBorder="1" applyAlignment="1">
      <alignment horizontal="center" vertical="top"/>
    </xf>
    <xf numFmtId="0" fontId="7" fillId="2" borderId="1" xfId="0" applyFont="1" applyFill="1" applyBorder="1" applyAlignment="1">
      <alignment horizontal="center" vertical="top"/>
    </xf>
    <xf numFmtId="0" fontId="4" fillId="0" borderId="1" xfId="0" applyFont="1" applyBorder="1" applyAlignment="1">
      <alignment vertical="top"/>
    </xf>
    <xf numFmtId="0" fontId="4" fillId="0" borderId="1" xfId="0" applyFont="1" applyBorder="1" applyAlignment="1">
      <alignment horizontal="left" vertical="top"/>
    </xf>
    <xf numFmtId="0" fontId="5" fillId="0" borderId="1" xfId="0" applyFont="1" applyBorder="1" applyAlignment="1">
      <alignment horizontal="center" vertical="top"/>
    </xf>
    <xf numFmtId="0" fontId="4" fillId="0" borderId="2" xfId="0" applyFont="1" applyBorder="1" applyAlignment="1">
      <alignment horizontal="center" vertical="top" wrapText="1"/>
    </xf>
    <xf numFmtId="0" fontId="4" fillId="0" borderId="0" xfId="0" applyFont="1" applyAlignment="1">
      <alignment vertical="top"/>
    </xf>
    <xf numFmtId="0" fontId="2" fillId="3" borderId="14" xfId="0" applyFont="1" applyFill="1" applyBorder="1" applyAlignment="1">
      <alignment horizontal="center" vertical="center" wrapText="1"/>
    </xf>
    <xf numFmtId="0" fontId="4" fillId="3" borderId="9" xfId="0" applyFont="1" applyFill="1" applyBorder="1"/>
    <xf numFmtId="0" fontId="10" fillId="0" borderId="10" xfId="0" applyFont="1" applyBorder="1" applyAlignment="1">
      <alignment horizontal="left" vertical="center" wrapText="1"/>
    </xf>
    <xf numFmtId="0" fontId="4" fillId="0" borderId="15" xfId="0" applyFont="1" applyBorder="1"/>
    <xf numFmtId="0" fontId="4" fillId="0" borderId="13" xfId="0" applyFont="1" applyBorder="1" applyAlignment="1">
      <alignment horizontal="center" vertical="center" wrapText="1"/>
    </xf>
    <xf numFmtId="0" fontId="4" fillId="0" borderId="13" xfId="0" applyFont="1" applyBorder="1" applyAlignment="1">
      <alignment horizontal="center" vertical="center"/>
    </xf>
    <xf numFmtId="0" fontId="4" fillId="0" borderId="16" xfId="0" applyFont="1" applyBorder="1" applyAlignment="1">
      <alignment horizontal="center" vertical="center"/>
    </xf>
    <xf numFmtId="0" fontId="4" fillId="3" borderId="13" xfId="0" applyFont="1" applyFill="1" applyBorder="1" applyAlignment="1">
      <alignment horizontal="center" vertical="center"/>
    </xf>
    <xf numFmtId="0" fontId="4" fillId="0" borderId="17" xfId="0" applyFont="1" applyBorder="1" applyAlignment="1">
      <alignment horizontal="center" vertical="center"/>
    </xf>
    <xf numFmtId="0" fontId="4" fillId="0" borderId="13" xfId="0" applyFont="1" applyBorder="1" applyAlignment="1">
      <alignment horizontal="center" vertical="top"/>
    </xf>
    <xf numFmtId="0" fontId="4" fillId="0" borderId="1" xfId="0" applyFont="1" applyBorder="1" applyAlignment="1">
      <alignment horizontal="center" vertical="center" wrapText="1"/>
    </xf>
    <xf numFmtId="0" fontId="4" fillId="0" borderId="15" xfId="0" applyFont="1" applyBorder="1" applyAlignment="1">
      <alignment horizontal="center"/>
    </xf>
    <xf numFmtId="0" fontId="6" fillId="3" borderId="1" xfId="0" applyFont="1" applyFill="1" applyBorder="1"/>
    <xf numFmtId="0" fontId="6" fillId="3" borderId="1" xfId="0" applyFont="1" applyFill="1" applyBorder="1" applyAlignment="1">
      <alignment horizontal="center" vertical="center"/>
    </xf>
    <xf numFmtId="0" fontId="6" fillId="4" borderId="0" xfId="0" applyFont="1" applyFill="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828675</xdr:colOff>
      <xdr:row>78</xdr:row>
      <xdr:rowOff>9525</xdr:rowOff>
    </xdr:from>
    <xdr:to>
      <xdr:col>2</xdr:col>
      <xdr:colOff>161925</xdr:colOff>
      <xdr:row>84</xdr:row>
      <xdr:rowOff>0</xdr:rowOff>
    </xdr:to>
    <xdr:sp macro="" textlink="">
      <xdr:nvSpPr>
        <xdr:cNvPr id="1057" name="AutoShape 1">
          <a:extLst>
            <a:ext uri="{FF2B5EF4-FFF2-40B4-BE49-F238E27FC236}">
              <a16:creationId xmlns:a16="http://schemas.microsoft.com/office/drawing/2014/main" id="{B4D55203-B5F2-C37C-F321-162F952D0EB4}"/>
            </a:ext>
          </a:extLst>
        </xdr:cNvPr>
        <xdr:cNvSpPr>
          <a:spLocks/>
        </xdr:cNvSpPr>
      </xdr:nvSpPr>
      <xdr:spPr bwMode="auto">
        <a:xfrm>
          <a:off x="2061322" y="18476819"/>
          <a:ext cx="1081368" cy="322897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8E3C-C5AB-40F8-967A-941E59DB3F9D}">
  <sheetPr>
    <pageSetUpPr fitToPage="1"/>
  </sheetPr>
  <dimension ref="A1:Q115"/>
  <sheetViews>
    <sheetView showGridLines="0" tabSelected="1" topLeftCell="A83" zoomScale="85" zoomScaleNormal="85" workbookViewId="0">
      <selection activeCell="L91" sqref="L91"/>
    </sheetView>
  </sheetViews>
  <sheetFormatPr baseColWidth="10" defaultColWidth="11.375" defaultRowHeight="14.4" x14ac:dyDescent="0.3"/>
  <cols>
    <col min="1" max="1" width="18.375" style="2" customWidth="1"/>
    <col min="2" max="2" width="26.125" style="3" customWidth="1"/>
    <col min="3" max="3" width="13.25" style="3" customWidth="1"/>
    <col min="4" max="4" width="9.125" style="1" bestFit="1" customWidth="1"/>
    <col min="5" max="5" width="8" style="1" customWidth="1"/>
    <col min="6" max="6" width="132.625" style="1" customWidth="1"/>
    <col min="7" max="7" width="5.875" style="1" bestFit="1" customWidth="1"/>
    <col min="8" max="9" width="7.375" style="4" customWidth="1"/>
    <col min="10" max="10" width="6.25" style="3" customWidth="1"/>
    <col min="11" max="16" width="11.375" style="3"/>
    <col min="17" max="17" width="60.875" style="3" bestFit="1" customWidth="1"/>
    <col min="18" max="16384" width="11.375" style="3"/>
  </cols>
  <sheetData>
    <row r="1" spans="1:9" ht="18" x14ac:dyDescent="0.35">
      <c r="B1" s="34" t="s">
        <v>0</v>
      </c>
    </row>
    <row r="2" spans="1:9" ht="48.75" customHeight="1" x14ac:dyDescent="0.3">
      <c r="B2" s="99" t="s">
        <v>1</v>
      </c>
      <c r="C2" s="99"/>
      <c r="D2" s="99"/>
      <c r="E2" s="99"/>
      <c r="F2" s="99"/>
      <c r="G2" s="99"/>
    </row>
    <row r="3" spans="1:9" ht="48.75" customHeight="1" x14ac:dyDescent="0.3">
      <c r="B3" s="99"/>
      <c r="C3" s="99"/>
      <c r="D3" s="99"/>
      <c r="E3" s="99"/>
      <c r="F3" s="99"/>
      <c r="G3" s="99"/>
    </row>
    <row r="4" spans="1:9" ht="18.75" customHeight="1" x14ac:dyDescent="0.3">
      <c r="B4" s="99"/>
      <c r="C4" s="99"/>
      <c r="D4" s="99"/>
      <c r="E4" s="99"/>
      <c r="F4" s="99"/>
      <c r="G4" s="99"/>
    </row>
    <row r="6" spans="1:9" s="5" customFormat="1" ht="28.8" x14ac:dyDescent="0.3">
      <c r="A6" s="39" t="s">
        <v>2</v>
      </c>
      <c r="B6" s="35" t="s">
        <v>3</v>
      </c>
      <c r="C6" s="35" t="s">
        <v>4</v>
      </c>
      <c r="D6" s="35" t="s">
        <v>5</v>
      </c>
      <c r="E6" s="35" t="s">
        <v>6</v>
      </c>
      <c r="F6" s="84" t="s">
        <v>7</v>
      </c>
      <c r="G6" s="35" t="s">
        <v>8</v>
      </c>
      <c r="H6" s="68" t="s">
        <v>9</v>
      </c>
      <c r="I6" s="35" t="s">
        <v>10</v>
      </c>
    </row>
    <row r="7" spans="1:9" s="5" customFormat="1" x14ac:dyDescent="0.3">
      <c r="A7" s="36"/>
      <c r="B7" s="37" t="s">
        <v>11</v>
      </c>
      <c r="C7" s="38" t="s">
        <v>12</v>
      </c>
      <c r="D7" s="10" t="s">
        <v>13</v>
      </c>
      <c r="E7" s="45">
        <v>1</v>
      </c>
      <c r="F7" s="69" t="s">
        <v>14</v>
      </c>
      <c r="G7" s="94">
        <v>2</v>
      </c>
      <c r="H7" s="88">
        <v>1</v>
      </c>
      <c r="I7" s="6">
        <f t="shared" ref="I7:I15" si="0">H7+G7-1</f>
        <v>2</v>
      </c>
    </row>
    <row r="8" spans="1:9" x14ac:dyDescent="0.3">
      <c r="A8" s="7"/>
      <c r="B8" s="8" t="s">
        <v>15</v>
      </c>
      <c r="C8" s="9" t="s">
        <v>12</v>
      </c>
      <c r="D8" s="10" t="s">
        <v>13</v>
      </c>
      <c r="E8" s="45">
        <v>2</v>
      </c>
      <c r="F8" s="11" t="s">
        <v>16</v>
      </c>
      <c r="G8" s="15">
        <v>15</v>
      </c>
      <c r="H8" s="89">
        <f>I7+1</f>
        <v>3</v>
      </c>
      <c r="I8" s="12">
        <f t="shared" si="0"/>
        <v>17</v>
      </c>
    </row>
    <row r="9" spans="1:9" x14ac:dyDescent="0.3">
      <c r="A9" s="13"/>
      <c r="B9" s="14" t="s">
        <v>17</v>
      </c>
      <c r="C9" s="14"/>
      <c r="D9" s="15" t="s">
        <v>13</v>
      </c>
      <c r="E9" s="45">
        <v>3</v>
      </c>
      <c r="F9" s="16" t="s">
        <v>18</v>
      </c>
      <c r="G9" s="15">
        <v>50</v>
      </c>
      <c r="H9" s="89">
        <f t="shared" ref="H9:H72" si="1">I8+1</f>
        <v>18</v>
      </c>
      <c r="I9" s="12">
        <f t="shared" si="0"/>
        <v>67</v>
      </c>
    </row>
    <row r="10" spans="1:9" x14ac:dyDescent="0.3">
      <c r="A10" s="7" t="s">
        <v>14</v>
      </c>
      <c r="B10" s="14" t="s">
        <v>19</v>
      </c>
      <c r="C10" s="14"/>
      <c r="D10" s="15" t="s">
        <v>13</v>
      </c>
      <c r="E10" s="45">
        <v>4</v>
      </c>
      <c r="F10" s="16"/>
      <c r="G10" s="15">
        <v>40</v>
      </c>
      <c r="H10" s="89">
        <f t="shared" si="1"/>
        <v>68</v>
      </c>
      <c r="I10" s="12">
        <f t="shared" si="0"/>
        <v>107</v>
      </c>
    </row>
    <row r="11" spans="1:9" x14ac:dyDescent="0.3">
      <c r="A11" s="13" t="s">
        <v>20</v>
      </c>
      <c r="B11" s="14" t="s">
        <v>21</v>
      </c>
      <c r="C11" s="14"/>
      <c r="D11" s="15" t="s">
        <v>13</v>
      </c>
      <c r="E11" s="45">
        <v>5</v>
      </c>
      <c r="F11" s="16"/>
      <c r="G11" s="15">
        <v>40</v>
      </c>
      <c r="H11" s="89">
        <f t="shared" si="1"/>
        <v>108</v>
      </c>
      <c r="I11" s="12">
        <f t="shared" si="0"/>
        <v>147</v>
      </c>
    </row>
    <row r="12" spans="1:9" x14ac:dyDescent="0.3">
      <c r="A12" s="7"/>
      <c r="B12" s="14" t="s">
        <v>22</v>
      </c>
      <c r="C12" s="14"/>
      <c r="D12" s="15" t="s">
        <v>13</v>
      </c>
      <c r="E12" s="45">
        <v>6</v>
      </c>
      <c r="F12" s="16"/>
      <c r="G12" s="15">
        <v>40</v>
      </c>
      <c r="H12" s="89">
        <f t="shared" si="1"/>
        <v>148</v>
      </c>
      <c r="I12" s="12">
        <f t="shared" si="0"/>
        <v>187</v>
      </c>
    </row>
    <row r="13" spans="1:9" x14ac:dyDescent="0.3">
      <c r="A13" s="7"/>
      <c r="B13" s="14" t="s">
        <v>23</v>
      </c>
      <c r="C13" s="14"/>
      <c r="D13" s="15" t="s">
        <v>13</v>
      </c>
      <c r="E13" s="45">
        <v>7</v>
      </c>
      <c r="F13" s="16"/>
      <c r="G13" s="15">
        <v>10</v>
      </c>
      <c r="H13" s="89">
        <f t="shared" si="1"/>
        <v>188</v>
      </c>
      <c r="I13" s="12">
        <f t="shared" si="0"/>
        <v>197</v>
      </c>
    </row>
    <row r="14" spans="1:9" x14ac:dyDescent="0.3">
      <c r="A14" s="7"/>
      <c r="B14" s="14" t="s">
        <v>24</v>
      </c>
      <c r="C14" s="14"/>
      <c r="D14" s="15" t="s">
        <v>13</v>
      </c>
      <c r="E14" s="45">
        <v>8</v>
      </c>
      <c r="F14" s="16"/>
      <c r="G14" s="15">
        <v>40</v>
      </c>
      <c r="H14" s="89">
        <f t="shared" si="1"/>
        <v>198</v>
      </c>
      <c r="I14" s="12">
        <f t="shared" si="0"/>
        <v>237</v>
      </c>
    </row>
    <row r="15" spans="1:9" x14ac:dyDescent="0.3">
      <c r="A15" s="7"/>
      <c r="B15" s="17" t="s">
        <v>25</v>
      </c>
      <c r="C15" s="17"/>
      <c r="D15" s="18" t="s">
        <v>13</v>
      </c>
      <c r="E15" s="45">
        <v>9</v>
      </c>
      <c r="F15" s="70"/>
      <c r="G15" s="15">
        <v>40</v>
      </c>
      <c r="H15" s="90">
        <f t="shared" si="1"/>
        <v>238</v>
      </c>
      <c r="I15" s="40">
        <f t="shared" si="0"/>
        <v>277</v>
      </c>
    </row>
    <row r="16" spans="1:9" x14ac:dyDescent="0.3">
      <c r="A16" s="41"/>
      <c r="B16" s="42"/>
      <c r="C16" s="42"/>
      <c r="D16" s="43"/>
      <c r="E16" s="46"/>
      <c r="F16" s="85"/>
      <c r="G16" s="43"/>
      <c r="H16" s="91"/>
      <c r="I16" s="44"/>
    </row>
    <row r="17" spans="1:9" s="5" customFormat="1" x14ac:dyDescent="0.3">
      <c r="A17" s="36"/>
      <c r="B17" s="37" t="s">
        <v>26</v>
      </c>
      <c r="C17" s="38" t="s">
        <v>27</v>
      </c>
      <c r="D17" s="10" t="s">
        <v>13</v>
      </c>
      <c r="E17" s="45">
        <v>1</v>
      </c>
      <c r="F17" s="86" t="s">
        <v>28</v>
      </c>
      <c r="G17" s="94">
        <v>2</v>
      </c>
      <c r="H17" s="92">
        <v>1</v>
      </c>
      <c r="I17" s="6">
        <f t="shared" ref="I17:I26" si="2">H17+G17-1</f>
        <v>2</v>
      </c>
    </row>
    <row r="18" spans="1:9" x14ac:dyDescent="0.3">
      <c r="A18" s="7"/>
      <c r="B18" s="8" t="s">
        <v>15</v>
      </c>
      <c r="C18" s="66" t="s">
        <v>12</v>
      </c>
      <c r="D18" s="10" t="s">
        <v>13</v>
      </c>
      <c r="E18" s="45">
        <v>2</v>
      </c>
      <c r="F18" s="11" t="s">
        <v>29</v>
      </c>
      <c r="G18" s="15">
        <v>15</v>
      </c>
      <c r="H18" s="89">
        <f t="shared" si="1"/>
        <v>3</v>
      </c>
      <c r="I18" s="12">
        <f t="shared" si="2"/>
        <v>17</v>
      </c>
    </row>
    <row r="19" spans="1:9" x14ac:dyDescent="0.3">
      <c r="A19" s="13"/>
      <c r="B19" s="14" t="s">
        <v>17</v>
      </c>
      <c r="C19" s="14"/>
      <c r="D19" s="15" t="s">
        <v>13</v>
      </c>
      <c r="E19" s="45">
        <v>3</v>
      </c>
      <c r="F19" s="16" t="s">
        <v>30</v>
      </c>
      <c r="G19" s="15">
        <v>50</v>
      </c>
      <c r="H19" s="89">
        <f t="shared" si="1"/>
        <v>18</v>
      </c>
      <c r="I19" s="12">
        <f t="shared" si="2"/>
        <v>67</v>
      </c>
    </row>
    <row r="20" spans="1:9" x14ac:dyDescent="0.3">
      <c r="A20" s="7" t="s">
        <v>28</v>
      </c>
      <c r="B20" s="14" t="s">
        <v>19</v>
      </c>
      <c r="C20" s="14"/>
      <c r="D20" s="15" t="s">
        <v>13</v>
      </c>
      <c r="E20" s="45">
        <v>4</v>
      </c>
      <c r="F20" s="16"/>
      <c r="G20" s="15">
        <v>40</v>
      </c>
      <c r="H20" s="89">
        <f t="shared" si="1"/>
        <v>68</v>
      </c>
      <c r="I20" s="12">
        <f t="shared" si="2"/>
        <v>107</v>
      </c>
    </row>
    <row r="21" spans="1:9" x14ac:dyDescent="0.3">
      <c r="A21" s="13" t="s">
        <v>31</v>
      </c>
      <c r="B21" s="14" t="s">
        <v>21</v>
      </c>
      <c r="C21" s="14"/>
      <c r="D21" s="15" t="s">
        <v>13</v>
      </c>
      <c r="E21" s="45">
        <v>5</v>
      </c>
      <c r="F21" s="16"/>
      <c r="G21" s="15">
        <v>40</v>
      </c>
      <c r="H21" s="89">
        <f t="shared" si="1"/>
        <v>108</v>
      </c>
      <c r="I21" s="12">
        <f t="shared" si="2"/>
        <v>147</v>
      </c>
    </row>
    <row r="22" spans="1:9" x14ac:dyDescent="0.3">
      <c r="A22" s="7"/>
      <c r="B22" s="14" t="s">
        <v>22</v>
      </c>
      <c r="C22" s="14"/>
      <c r="D22" s="15" t="s">
        <v>13</v>
      </c>
      <c r="E22" s="45">
        <v>6</v>
      </c>
      <c r="F22" s="16"/>
      <c r="G22" s="15">
        <v>40</v>
      </c>
      <c r="H22" s="89">
        <f t="shared" si="1"/>
        <v>148</v>
      </c>
      <c r="I22" s="12">
        <f t="shared" si="2"/>
        <v>187</v>
      </c>
    </row>
    <row r="23" spans="1:9" x14ac:dyDescent="0.3">
      <c r="A23" s="7"/>
      <c r="B23" s="14" t="s">
        <v>23</v>
      </c>
      <c r="C23" s="14"/>
      <c r="D23" s="15" t="s">
        <v>13</v>
      </c>
      <c r="E23" s="45">
        <v>7</v>
      </c>
      <c r="F23" s="16"/>
      <c r="G23" s="15">
        <v>10</v>
      </c>
      <c r="H23" s="89">
        <f t="shared" si="1"/>
        <v>188</v>
      </c>
      <c r="I23" s="12">
        <f t="shared" si="2"/>
        <v>197</v>
      </c>
    </row>
    <row r="24" spans="1:9" x14ac:dyDescent="0.3">
      <c r="A24" s="7"/>
      <c r="B24" s="14" t="s">
        <v>24</v>
      </c>
      <c r="C24" s="14"/>
      <c r="D24" s="15" t="s">
        <v>13</v>
      </c>
      <c r="E24" s="45">
        <v>8</v>
      </c>
      <c r="F24" s="16"/>
      <c r="G24" s="15">
        <v>40</v>
      </c>
      <c r="H24" s="89">
        <f t="shared" si="1"/>
        <v>198</v>
      </c>
      <c r="I24" s="12">
        <f t="shared" si="2"/>
        <v>237</v>
      </c>
    </row>
    <row r="25" spans="1:9" x14ac:dyDescent="0.3">
      <c r="A25" s="7"/>
      <c r="B25" s="17" t="s">
        <v>25</v>
      </c>
      <c r="C25" s="17"/>
      <c r="D25" s="18" t="s">
        <v>13</v>
      </c>
      <c r="E25" s="45">
        <v>9</v>
      </c>
      <c r="F25" s="70"/>
      <c r="G25" s="15">
        <v>40</v>
      </c>
      <c r="H25" s="89">
        <f t="shared" si="1"/>
        <v>238</v>
      </c>
      <c r="I25" s="12">
        <f t="shared" si="2"/>
        <v>277</v>
      </c>
    </row>
    <row r="26" spans="1:9" x14ac:dyDescent="0.3">
      <c r="A26" s="7"/>
      <c r="B26" s="17" t="s">
        <v>32</v>
      </c>
      <c r="C26" s="17"/>
      <c r="D26" s="18" t="s">
        <v>13</v>
      </c>
      <c r="E26" s="52">
        <v>10</v>
      </c>
      <c r="F26" s="70" t="s">
        <v>33</v>
      </c>
      <c r="G26" s="15">
        <v>512</v>
      </c>
      <c r="H26" s="90">
        <f t="shared" si="1"/>
        <v>278</v>
      </c>
      <c r="I26" s="40">
        <f t="shared" si="2"/>
        <v>789</v>
      </c>
    </row>
    <row r="27" spans="1:9" x14ac:dyDescent="0.3">
      <c r="A27" s="41"/>
      <c r="B27" s="42"/>
      <c r="C27" s="42"/>
      <c r="D27" s="43"/>
      <c r="E27" s="46"/>
      <c r="F27" s="85"/>
      <c r="G27" s="43"/>
      <c r="H27" s="91"/>
      <c r="I27" s="44"/>
    </row>
    <row r="28" spans="1:9" s="5" customFormat="1" x14ac:dyDescent="0.3">
      <c r="A28" s="7" t="s">
        <v>34</v>
      </c>
      <c r="B28" s="37" t="s">
        <v>35</v>
      </c>
      <c r="C28" s="38" t="s">
        <v>12</v>
      </c>
      <c r="D28" s="10" t="s">
        <v>13</v>
      </c>
      <c r="E28" s="53">
        <v>1</v>
      </c>
      <c r="F28" s="86" t="s">
        <v>34</v>
      </c>
      <c r="G28" s="94">
        <v>2</v>
      </c>
      <c r="H28" s="92">
        <v>1</v>
      </c>
      <c r="I28" s="6">
        <f>H28+G28-1</f>
        <v>2</v>
      </c>
    </row>
    <row r="29" spans="1:9" x14ac:dyDescent="0.3">
      <c r="A29" s="13" t="s">
        <v>36</v>
      </c>
      <c r="B29" s="49" t="s">
        <v>15</v>
      </c>
      <c r="C29" s="50" t="s">
        <v>12</v>
      </c>
      <c r="D29" s="51" t="s">
        <v>13</v>
      </c>
      <c r="E29" s="52">
        <v>2</v>
      </c>
      <c r="F29" s="87" t="s">
        <v>37</v>
      </c>
      <c r="G29" s="15">
        <v>15</v>
      </c>
      <c r="H29" s="90">
        <f t="shared" si="1"/>
        <v>3</v>
      </c>
      <c r="I29" s="40">
        <f>H29+G29-1</f>
        <v>17</v>
      </c>
    </row>
    <row r="30" spans="1:9" x14ac:dyDescent="0.3">
      <c r="A30" s="41"/>
      <c r="B30" s="42"/>
      <c r="C30" s="42"/>
      <c r="D30" s="43"/>
      <c r="E30" s="46"/>
      <c r="F30" s="85"/>
      <c r="G30" s="43"/>
      <c r="H30" s="91"/>
      <c r="I30" s="44"/>
    </row>
    <row r="31" spans="1:9" x14ac:dyDescent="0.3">
      <c r="A31" s="7"/>
      <c r="B31" s="37" t="s">
        <v>38</v>
      </c>
      <c r="C31" s="9" t="s">
        <v>12</v>
      </c>
      <c r="D31" s="10" t="s">
        <v>13</v>
      </c>
      <c r="E31" s="53">
        <v>1</v>
      </c>
      <c r="F31" s="71" t="s">
        <v>39</v>
      </c>
      <c r="G31" s="94">
        <v>2</v>
      </c>
      <c r="H31" s="92">
        <v>1</v>
      </c>
      <c r="I31" s="6">
        <f t="shared" ref="I31:I58" si="3">H31+G31-1</f>
        <v>2</v>
      </c>
    </row>
    <row r="32" spans="1:9" x14ac:dyDescent="0.3">
      <c r="A32" s="7"/>
      <c r="B32" s="8" t="s">
        <v>40</v>
      </c>
      <c r="C32" s="9" t="s">
        <v>12</v>
      </c>
      <c r="D32" s="10" t="s">
        <v>13</v>
      </c>
      <c r="E32" s="45">
        <v>2</v>
      </c>
      <c r="F32" s="11" t="s">
        <v>41</v>
      </c>
      <c r="G32" s="15">
        <v>30</v>
      </c>
      <c r="H32" s="89">
        <f t="shared" si="1"/>
        <v>3</v>
      </c>
      <c r="I32" s="12">
        <f t="shared" si="3"/>
        <v>32</v>
      </c>
    </row>
    <row r="33" spans="1:9" s="23" customFormat="1" ht="210" customHeight="1" x14ac:dyDescent="0.2">
      <c r="A33" s="19"/>
      <c r="B33" s="20" t="s">
        <v>42</v>
      </c>
      <c r="C33" s="21" t="s">
        <v>12</v>
      </c>
      <c r="D33" s="22" t="s">
        <v>43</v>
      </c>
      <c r="E33" s="45">
        <v>3</v>
      </c>
      <c r="F33" s="72" t="s">
        <v>44</v>
      </c>
      <c r="G33" s="22">
        <v>2</v>
      </c>
      <c r="H33" s="89">
        <f t="shared" si="1"/>
        <v>33</v>
      </c>
      <c r="I33" s="12">
        <f t="shared" si="3"/>
        <v>34</v>
      </c>
    </row>
    <row r="34" spans="1:9" x14ac:dyDescent="0.3">
      <c r="A34" s="7"/>
      <c r="B34" s="14" t="s">
        <v>45</v>
      </c>
      <c r="C34" s="24" t="s">
        <v>12</v>
      </c>
      <c r="D34" s="15" t="s">
        <v>46</v>
      </c>
      <c r="E34" s="47">
        <v>4</v>
      </c>
      <c r="F34" s="16" t="s">
        <v>47</v>
      </c>
      <c r="G34" s="15">
        <v>8</v>
      </c>
      <c r="H34" s="89">
        <f t="shared" si="1"/>
        <v>35</v>
      </c>
      <c r="I34" s="12">
        <f t="shared" si="3"/>
        <v>42</v>
      </c>
    </row>
    <row r="35" spans="1:9" x14ac:dyDescent="0.3">
      <c r="A35" s="7"/>
      <c r="B35" s="14" t="s">
        <v>48</v>
      </c>
      <c r="C35" s="14"/>
      <c r="D35" s="15" t="s">
        <v>13</v>
      </c>
      <c r="E35" s="47">
        <v>5</v>
      </c>
      <c r="F35" s="16" t="s">
        <v>48</v>
      </c>
      <c r="G35" s="15">
        <v>30</v>
      </c>
      <c r="H35" s="89">
        <f t="shared" si="1"/>
        <v>43</v>
      </c>
      <c r="I35" s="12">
        <f t="shared" si="3"/>
        <v>72</v>
      </c>
    </row>
    <row r="36" spans="1:9" x14ac:dyDescent="0.3">
      <c r="A36" s="7"/>
      <c r="B36" s="14" t="s">
        <v>49</v>
      </c>
      <c r="C36" s="14"/>
      <c r="D36" s="15" t="s">
        <v>46</v>
      </c>
      <c r="E36" s="47">
        <v>6</v>
      </c>
      <c r="F36" s="16" t="s">
        <v>47</v>
      </c>
      <c r="G36" s="15">
        <v>8</v>
      </c>
      <c r="H36" s="89">
        <f t="shared" si="1"/>
        <v>73</v>
      </c>
      <c r="I36" s="12">
        <f t="shared" si="3"/>
        <v>80</v>
      </c>
    </row>
    <row r="37" spans="1:9" x14ac:dyDescent="0.3">
      <c r="A37" s="7"/>
      <c r="B37" s="14" t="s">
        <v>50</v>
      </c>
      <c r="C37" s="14"/>
      <c r="D37" s="15" t="s">
        <v>13</v>
      </c>
      <c r="E37" s="47">
        <v>7</v>
      </c>
      <c r="F37" s="16"/>
      <c r="G37" s="15">
        <v>20</v>
      </c>
      <c r="H37" s="89">
        <f t="shared" si="1"/>
        <v>81</v>
      </c>
      <c r="I37" s="12">
        <f t="shared" si="3"/>
        <v>100</v>
      </c>
    </row>
    <row r="38" spans="1:9" x14ac:dyDescent="0.3">
      <c r="A38" s="7" t="s">
        <v>39</v>
      </c>
      <c r="B38" s="14" t="s">
        <v>51</v>
      </c>
      <c r="C38" s="14"/>
      <c r="D38" s="15" t="s">
        <v>13</v>
      </c>
      <c r="E38" s="47">
        <v>8</v>
      </c>
      <c r="F38" s="16" t="s">
        <v>52</v>
      </c>
      <c r="G38" s="15">
        <v>10</v>
      </c>
      <c r="H38" s="89">
        <f t="shared" si="1"/>
        <v>101</v>
      </c>
      <c r="I38" s="12">
        <f t="shared" si="3"/>
        <v>110</v>
      </c>
    </row>
    <row r="39" spans="1:9" x14ac:dyDescent="0.3">
      <c r="A39" s="19" t="s">
        <v>53</v>
      </c>
      <c r="B39" s="14" t="s">
        <v>54</v>
      </c>
      <c r="C39" s="14"/>
      <c r="D39" s="15" t="s">
        <v>13</v>
      </c>
      <c r="E39" s="47">
        <v>9</v>
      </c>
      <c r="F39" s="16" t="s">
        <v>55</v>
      </c>
      <c r="G39" s="15">
        <v>40</v>
      </c>
      <c r="H39" s="89">
        <f t="shared" si="1"/>
        <v>111</v>
      </c>
      <c r="I39" s="12">
        <f t="shared" si="3"/>
        <v>150</v>
      </c>
    </row>
    <row r="40" spans="1:9" x14ac:dyDescent="0.3">
      <c r="A40" s="7"/>
      <c r="B40" s="14" t="s">
        <v>56</v>
      </c>
      <c r="C40" s="14"/>
      <c r="D40" s="15" t="s">
        <v>13</v>
      </c>
      <c r="E40" s="47">
        <v>10</v>
      </c>
      <c r="F40" s="16" t="s">
        <v>57</v>
      </c>
      <c r="G40" s="15">
        <v>15</v>
      </c>
      <c r="H40" s="89">
        <f t="shared" si="1"/>
        <v>151</v>
      </c>
      <c r="I40" s="12">
        <f t="shared" si="3"/>
        <v>165</v>
      </c>
    </row>
    <row r="41" spans="1:9" x14ac:dyDescent="0.3">
      <c r="A41" s="7"/>
      <c r="B41" s="14" t="s">
        <v>58</v>
      </c>
      <c r="C41" s="14"/>
      <c r="D41" s="15" t="s">
        <v>13</v>
      </c>
      <c r="E41" s="47">
        <v>11</v>
      </c>
      <c r="F41" s="16" t="s">
        <v>59</v>
      </c>
      <c r="G41" s="15">
        <v>50</v>
      </c>
      <c r="H41" s="89">
        <f t="shared" si="1"/>
        <v>166</v>
      </c>
      <c r="I41" s="12">
        <f t="shared" si="3"/>
        <v>215</v>
      </c>
    </row>
    <row r="42" spans="1:9" x14ac:dyDescent="0.3">
      <c r="A42" s="7"/>
      <c r="B42" s="14" t="s">
        <v>60</v>
      </c>
      <c r="C42" s="14"/>
      <c r="D42" s="15" t="s">
        <v>13</v>
      </c>
      <c r="E42" s="47">
        <v>12</v>
      </c>
      <c r="F42" s="16" t="s">
        <v>61</v>
      </c>
      <c r="G42" s="15">
        <v>50</v>
      </c>
      <c r="H42" s="89">
        <f t="shared" si="1"/>
        <v>216</v>
      </c>
      <c r="I42" s="12">
        <f t="shared" si="3"/>
        <v>265</v>
      </c>
    </row>
    <row r="43" spans="1:9" x14ac:dyDescent="0.3">
      <c r="A43" s="7"/>
      <c r="B43" s="14" t="s">
        <v>62</v>
      </c>
      <c r="C43" s="14"/>
      <c r="D43" s="15" t="s">
        <v>13</v>
      </c>
      <c r="E43" s="47">
        <v>13</v>
      </c>
      <c r="F43" s="16" t="s">
        <v>63</v>
      </c>
      <c r="G43" s="15">
        <v>40</v>
      </c>
      <c r="H43" s="89">
        <f t="shared" si="1"/>
        <v>266</v>
      </c>
      <c r="I43" s="12">
        <f t="shared" si="3"/>
        <v>305</v>
      </c>
    </row>
    <row r="44" spans="1:9" x14ac:dyDescent="0.3">
      <c r="A44" s="7"/>
      <c r="B44" s="14" t="s">
        <v>64</v>
      </c>
      <c r="C44" s="14"/>
      <c r="D44" s="15" t="s">
        <v>13</v>
      </c>
      <c r="E44" s="47">
        <v>14</v>
      </c>
      <c r="F44" s="16" t="s">
        <v>65</v>
      </c>
      <c r="G44" s="15">
        <v>40</v>
      </c>
      <c r="H44" s="89">
        <f t="shared" si="1"/>
        <v>306</v>
      </c>
      <c r="I44" s="12">
        <f t="shared" si="3"/>
        <v>345</v>
      </c>
    </row>
    <row r="45" spans="1:9" x14ac:dyDescent="0.3">
      <c r="A45" s="7"/>
      <c r="B45" s="14" t="s">
        <v>66</v>
      </c>
      <c r="C45" s="14"/>
      <c r="D45" s="15" t="s">
        <v>13</v>
      </c>
      <c r="E45" s="47">
        <v>15</v>
      </c>
      <c r="F45" s="16" t="s">
        <v>67</v>
      </c>
      <c r="G45" s="15">
        <v>40</v>
      </c>
      <c r="H45" s="89">
        <f t="shared" si="1"/>
        <v>346</v>
      </c>
      <c r="I45" s="12">
        <f t="shared" si="3"/>
        <v>385</v>
      </c>
    </row>
    <row r="46" spans="1:9" x14ac:dyDescent="0.3">
      <c r="A46" s="7"/>
      <c r="B46" s="14" t="s">
        <v>68</v>
      </c>
      <c r="C46" s="14"/>
      <c r="D46" s="15" t="s">
        <v>13</v>
      </c>
      <c r="E46" s="47">
        <v>16</v>
      </c>
      <c r="F46" s="16" t="s">
        <v>69</v>
      </c>
      <c r="G46" s="15">
        <v>10</v>
      </c>
      <c r="H46" s="89">
        <f t="shared" si="1"/>
        <v>386</v>
      </c>
      <c r="I46" s="12">
        <f t="shared" si="3"/>
        <v>395</v>
      </c>
    </row>
    <row r="47" spans="1:9" x14ac:dyDescent="0.3">
      <c r="A47" s="7"/>
      <c r="B47" s="14" t="s">
        <v>70</v>
      </c>
      <c r="C47" s="14"/>
      <c r="D47" s="15" t="s">
        <v>13</v>
      </c>
      <c r="E47" s="47">
        <v>17</v>
      </c>
      <c r="F47" s="16" t="s">
        <v>71</v>
      </c>
      <c r="G47" s="15">
        <v>40</v>
      </c>
      <c r="H47" s="89">
        <f t="shared" si="1"/>
        <v>396</v>
      </c>
      <c r="I47" s="12">
        <f t="shared" si="3"/>
        <v>435</v>
      </c>
    </row>
    <row r="48" spans="1:9" x14ac:dyDescent="0.3">
      <c r="A48" s="7"/>
      <c r="B48" s="17" t="s">
        <v>72</v>
      </c>
      <c r="C48" s="17"/>
      <c r="D48" s="15" t="s">
        <v>13</v>
      </c>
      <c r="E48" s="47">
        <v>18</v>
      </c>
      <c r="F48" s="70" t="s">
        <v>73</v>
      </c>
      <c r="G48" s="15">
        <v>40</v>
      </c>
      <c r="H48" s="89">
        <f t="shared" si="1"/>
        <v>436</v>
      </c>
      <c r="I48" s="12">
        <f t="shared" si="3"/>
        <v>475</v>
      </c>
    </row>
    <row r="49" spans="1:9" x14ac:dyDescent="0.3">
      <c r="A49" s="7"/>
      <c r="B49" s="17" t="s">
        <v>32</v>
      </c>
      <c r="C49" s="17"/>
      <c r="D49" s="18" t="s">
        <v>13</v>
      </c>
      <c r="E49" s="47">
        <v>19</v>
      </c>
      <c r="F49" s="70" t="s">
        <v>74</v>
      </c>
      <c r="G49" s="15">
        <v>1000</v>
      </c>
      <c r="H49" s="89">
        <f t="shared" si="1"/>
        <v>476</v>
      </c>
      <c r="I49" s="12">
        <f t="shared" si="3"/>
        <v>1475</v>
      </c>
    </row>
    <row r="50" spans="1:9" x14ac:dyDescent="0.3">
      <c r="A50" s="25"/>
      <c r="B50" s="14" t="s">
        <v>75</v>
      </c>
      <c r="C50" s="14"/>
      <c r="D50" s="15" t="s">
        <v>13</v>
      </c>
      <c r="E50" s="47">
        <v>20</v>
      </c>
      <c r="F50" s="16" t="s">
        <v>76</v>
      </c>
      <c r="G50" s="15">
        <v>255</v>
      </c>
      <c r="H50" s="89">
        <f t="shared" si="1"/>
        <v>1476</v>
      </c>
      <c r="I50" s="12">
        <f t="shared" si="3"/>
        <v>1730</v>
      </c>
    </row>
    <row r="51" spans="1:9" x14ac:dyDescent="0.3">
      <c r="A51" s="25"/>
      <c r="B51" s="14" t="s">
        <v>77</v>
      </c>
      <c r="C51" s="14"/>
      <c r="D51" s="15" t="s">
        <v>13</v>
      </c>
      <c r="E51" s="47">
        <v>21</v>
      </c>
      <c r="F51" s="16" t="s">
        <v>78</v>
      </c>
      <c r="G51" s="15">
        <v>3</v>
      </c>
      <c r="H51" s="89">
        <f t="shared" si="1"/>
        <v>1731</v>
      </c>
      <c r="I51" s="12">
        <f t="shared" si="3"/>
        <v>1733</v>
      </c>
    </row>
    <row r="52" spans="1:9" x14ac:dyDescent="0.3">
      <c r="A52" s="25"/>
      <c r="B52" s="8" t="s">
        <v>79</v>
      </c>
      <c r="C52" s="8"/>
      <c r="D52" s="10" t="s">
        <v>13</v>
      </c>
      <c r="E52" s="47">
        <v>22</v>
      </c>
      <c r="F52" s="11" t="s">
        <v>80</v>
      </c>
      <c r="G52" s="15">
        <v>50</v>
      </c>
      <c r="H52" s="89">
        <f t="shared" si="1"/>
        <v>1734</v>
      </c>
      <c r="I52" s="12">
        <f t="shared" si="3"/>
        <v>1783</v>
      </c>
    </row>
    <row r="53" spans="1:9" x14ac:dyDescent="0.3">
      <c r="A53" s="25"/>
      <c r="B53" s="14" t="s">
        <v>81</v>
      </c>
      <c r="C53" s="14"/>
      <c r="D53" s="15" t="s">
        <v>13</v>
      </c>
      <c r="E53" s="47">
        <v>23</v>
      </c>
      <c r="F53" s="16" t="s">
        <v>82</v>
      </c>
      <c r="G53" s="15">
        <v>50</v>
      </c>
      <c r="H53" s="89">
        <f t="shared" si="1"/>
        <v>1784</v>
      </c>
      <c r="I53" s="12">
        <f t="shared" si="3"/>
        <v>1833</v>
      </c>
    </row>
    <row r="54" spans="1:9" x14ac:dyDescent="0.3">
      <c r="A54" s="25"/>
      <c r="B54" s="14" t="s">
        <v>83</v>
      </c>
      <c r="C54" s="14"/>
      <c r="D54" s="15" t="s">
        <v>13</v>
      </c>
      <c r="E54" s="47">
        <v>24</v>
      </c>
      <c r="F54" s="16" t="s">
        <v>84</v>
      </c>
      <c r="G54" s="15">
        <v>60</v>
      </c>
      <c r="H54" s="89">
        <f t="shared" si="1"/>
        <v>1834</v>
      </c>
      <c r="I54" s="12">
        <f t="shared" si="3"/>
        <v>1893</v>
      </c>
    </row>
    <row r="55" spans="1:9" x14ac:dyDescent="0.3">
      <c r="A55" s="25"/>
      <c r="B55" s="14" t="s">
        <v>85</v>
      </c>
      <c r="C55" s="14" t="s">
        <v>86</v>
      </c>
      <c r="D55" s="15" t="s">
        <v>87</v>
      </c>
      <c r="E55" s="47">
        <v>25</v>
      </c>
      <c r="F55" s="16" t="s">
        <v>88</v>
      </c>
      <c r="G55" s="15">
        <v>9</v>
      </c>
      <c r="H55" s="89">
        <f t="shared" si="1"/>
        <v>1894</v>
      </c>
      <c r="I55" s="12">
        <f t="shared" si="3"/>
        <v>1902</v>
      </c>
    </row>
    <row r="56" spans="1:9" x14ac:dyDescent="0.3">
      <c r="A56" s="25"/>
      <c r="B56" s="14" t="s">
        <v>89</v>
      </c>
      <c r="C56" s="14"/>
      <c r="D56" s="15" t="s">
        <v>87</v>
      </c>
      <c r="E56" s="47">
        <v>26</v>
      </c>
      <c r="F56" s="16" t="s">
        <v>88</v>
      </c>
      <c r="G56" s="15">
        <v>9</v>
      </c>
      <c r="H56" s="89">
        <f t="shared" si="1"/>
        <v>1903</v>
      </c>
      <c r="I56" s="12">
        <f t="shared" si="3"/>
        <v>1911</v>
      </c>
    </row>
    <row r="57" spans="1:9" x14ac:dyDescent="0.3">
      <c r="A57" s="25"/>
      <c r="B57" s="14" t="s">
        <v>90</v>
      </c>
      <c r="C57" s="14"/>
      <c r="D57" s="15" t="s">
        <v>13</v>
      </c>
      <c r="E57" s="47">
        <v>27</v>
      </c>
      <c r="F57" s="16" t="s">
        <v>91</v>
      </c>
      <c r="G57" s="15">
        <v>3</v>
      </c>
      <c r="H57" s="89">
        <f t="shared" si="1"/>
        <v>1912</v>
      </c>
      <c r="I57" s="12">
        <f t="shared" si="3"/>
        <v>1914</v>
      </c>
    </row>
    <row r="58" spans="1:9" x14ac:dyDescent="0.3">
      <c r="A58" s="25"/>
      <c r="B58" s="17" t="s">
        <v>92</v>
      </c>
      <c r="C58" s="17"/>
      <c r="D58" s="18" t="s">
        <v>13</v>
      </c>
      <c r="E58" s="54">
        <v>28</v>
      </c>
      <c r="F58" s="70" t="s">
        <v>93</v>
      </c>
      <c r="G58" s="15">
        <v>4</v>
      </c>
      <c r="H58" s="90">
        <f t="shared" si="1"/>
        <v>1915</v>
      </c>
      <c r="I58" s="40">
        <f t="shared" si="3"/>
        <v>1918</v>
      </c>
    </row>
    <row r="59" spans="1:9" x14ac:dyDescent="0.3">
      <c r="A59" s="41"/>
      <c r="B59" s="42"/>
      <c r="C59" s="42"/>
      <c r="D59" s="43"/>
      <c r="E59" s="43"/>
      <c r="F59" s="85"/>
      <c r="G59" s="43"/>
      <c r="H59" s="91"/>
      <c r="I59" s="44"/>
    </row>
    <row r="60" spans="1:9" x14ac:dyDescent="0.3">
      <c r="A60" s="7"/>
      <c r="B60" s="67" t="s">
        <v>94</v>
      </c>
      <c r="C60" s="9" t="s">
        <v>12</v>
      </c>
      <c r="D60" s="10" t="s">
        <v>13</v>
      </c>
      <c r="E60" s="53">
        <v>1</v>
      </c>
      <c r="F60" s="71" t="s">
        <v>95</v>
      </c>
      <c r="G60" s="94">
        <v>2</v>
      </c>
      <c r="H60" s="92">
        <f t="shared" si="1"/>
        <v>1</v>
      </c>
      <c r="I60" s="6">
        <f t="shared" ref="I60:I99" si="4">H60+G60-1</f>
        <v>2</v>
      </c>
    </row>
    <row r="61" spans="1:9" x14ac:dyDescent="0.3">
      <c r="A61" s="26"/>
      <c r="B61" s="8" t="s">
        <v>96</v>
      </c>
      <c r="C61" s="9" t="s">
        <v>12</v>
      </c>
      <c r="D61" s="10" t="s">
        <v>97</v>
      </c>
      <c r="E61" s="47">
        <v>2</v>
      </c>
      <c r="F61" s="11" t="s">
        <v>98</v>
      </c>
      <c r="G61" s="15">
        <v>4</v>
      </c>
      <c r="H61" s="89">
        <f t="shared" si="1"/>
        <v>3</v>
      </c>
      <c r="I61" s="12">
        <f t="shared" si="4"/>
        <v>6</v>
      </c>
    </row>
    <row r="62" spans="1:9" x14ac:dyDescent="0.3">
      <c r="A62" s="26"/>
      <c r="B62" s="8" t="s">
        <v>99</v>
      </c>
      <c r="C62" s="9" t="s">
        <v>12</v>
      </c>
      <c r="D62" s="10" t="s">
        <v>13</v>
      </c>
      <c r="E62" s="48">
        <v>3</v>
      </c>
      <c r="F62" s="11" t="s">
        <v>100</v>
      </c>
      <c r="G62" s="15">
        <v>30</v>
      </c>
      <c r="H62" s="89">
        <f t="shared" si="1"/>
        <v>7</v>
      </c>
      <c r="I62" s="12">
        <f t="shared" si="4"/>
        <v>36</v>
      </c>
    </row>
    <row r="63" spans="1:9" x14ac:dyDescent="0.3">
      <c r="A63" s="13"/>
      <c r="B63" s="14" t="s">
        <v>101</v>
      </c>
      <c r="C63" s="24" t="s">
        <v>12</v>
      </c>
      <c r="D63" s="15" t="s">
        <v>13</v>
      </c>
      <c r="E63" s="47">
        <v>4</v>
      </c>
      <c r="F63" s="16" t="s">
        <v>102</v>
      </c>
      <c r="G63" s="15">
        <v>35</v>
      </c>
      <c r="H63" s="89">
        <f t="shared" si="1"/>
        <v>37</v>
      </c>
      <c r="I63" s="12">
        <f t="shared" si="4"/>
        <v>71</v>
      </c>
    </row>
    <row r="64" spans="1:9" x14ac:dyDescent="0.3">
      <c r="A64" s="13"/>
      <c r="B64" s="14" t="s">
        <v>103</v>
      </c>
      <c r="C64" s="14"/>
      <c r="D64" s="15" t="s">
        <v>13</v>
      </c>
      <c r="E64" s="47">
        <v>5</v>
      </c>
      <c r="F64" s="16" t="s">
        <v>104</v>
      </c>
      <c r="G64" s="15">
        <v>30</v>
      </c>
      <c r="H64" s="89">
        <f t="shared" si="1"/>
        <v>72</v>
      </c>
      <c r="I64" s="12">
        <f t="shared" si="4"/>
        <v>101</v>
      </c>
    </row>
    <row r="65" spans="1:17" x14ac:dyDescent="0.3">
      <c r="A65" s="13"/>
      <c r="B65" s="14" t="s">
        <v>105</v>
      </c>
      <c r="C65" s="14"/>
      <c r="D65" s="15" t="s">
        <v>13</v>
      </c>
      <c r="E65" s="47">
        <v>6</v>
      </c>
      <c r="F65" s="16" t="s">
        <v>106</v>
      </c>
      <c r="G65" s="15">
        <v>50</v>
      </c>
      <c r="H65" s="89">
        <f t="shared" si="1"/>
        <v>102</v>
      </c>
      <c r="I65" s="12">
        <f t="shared" si="4"/>
        <v>151</v>
      </c>
    </row>
    <row r="66" spans="1:17" x14ac:dyDescent="0.3">
      <c r="A66" s="26"/>
      <c r="B66" s="14" t="s">
        <v>107</v>
      </c>
      <c r="C66" s="24"/>
      <c r="D66" s="15" t="s">
        <v>13</v>
      </c>
      <c r="E66" s="47">
        <v>7</v>
      </c>
      <c r="F66" s="16" t="s">
        <v>108</v>
      </c>
      <c r="G66" s="15">
        <v>20</v>
      </c>
      <c r="H66" s="89">
        <f t="shared" si="1"/>
        <v>152</v>
      </c>
      <c r="I66" s="12">
        <f t="shared" si="4"/>
        <v>171</v>
      </c>
    </row>
    <row r="67" spans="1:17" x14ac:dyDescent="0.3">
      <c r="A67" s="7"/>
      <c r="B67" s="14" t="s">
        <v>109</v>
      </c>
      <c r="C67" s="14"/>
      <c r="D67" s="15" t="s">
        <v>13</v>
      </c>
      <c r="E67" s="47">
        <v>8</v>
      </c>
      <c r="F67" s="16" t="s">
        <v>110</v>
      </c>
      <c r="G67" s="15">
        <v>20</v>
      </c>
      <c r="H67" s="89">
        <f t="shared" si="1"/>
        <v>172</v>
      </c>
      <c r="I67" s="12">
        <f t="shared" si="4"/>
        <v>191</v>
      </c>
    </row>
    <row r="68" spans="1:17" x14ac:dyDescent="0.3">
      <c r="A68" s="7"/>
      <c r="B68" s="14" t="s">
        <v>111</v>
      </c>
      <c r="C68" s="14"/>
      <c r="D68" s="15" t="s">
        <v>87</v>
      </c>
      <c r="E68" s="47">
        <v>9</v>
      </c>
      <c r="F68" s="16" t="s">
        <v>112</v>
      </c>
      <c r="G68" s="15">
        <v>9</v>
      </c>
      <c r="H68" s="89">
        <f t="shared" si="1"/>
        <v>192</v>
      </c>
      <c r="I68" s="12">
        <f t="shared" si="4"/>
        <v>200</v>
      </c>
    </row>
    <row r="69" spans="1:17" x14ac:dyDescent="0.3">
      <c r="A69" s="7"/>
      <c r="B69" s="14" t="s">
        <v>113</v>
      </c>
      <c r="C69" s="14"/>
      <c r="D69" s="22" t="s">
        <v>43</v>
      </c>
      <c r="E69" s="47">
        <v>10</v>
      </c>
      <c r="F69" s="16" t="s">
        <v>114</v>
      </c>
      <c r="G69" s="15">
        <v>1</v>
      </c>
      <c r="H69" s="89">
        <f t="shared" si="1"/>
        <v>201</v>
      </c>
      <c r="I69" s="12">
        <f t="shared" si="4"/>
        <v>201</v>
      </c>
    </row>
    <row r="70" spans="1:17" x14ac:dyDescent="0.3">
      <c r="A70" s="7"/>
      <c r="B70" s="14" t="s">
        <v>115</v>
      </c>
      <c r="C70" s="14"/>
      <c r="D70" s="15" t="s">
        <v>87</v>
      </c>
      <c r="E70" s="47">
        <v>11</v>
      </c>
      <c r="F70" s="16" t="s">
        <v>116</v>
      </c>
      <c r="G70" s="15">
        <v>9</v>
      </c>
      <c r="H70" s="89">
        <f t="shared" si="1"/>
        <v>202</v>
      </c>
      <c r="I70" s="12">
        <f t="shared" si="4"/>
        <v>210</v>
      </c>
    </row>
    <row r="71" spans="1:17" x14ac:dyDescent="0.3">
      <c r="A71" s="7"/>
      <c r="B71" s="14" t="s">
        <v>117</v>
      </c>
      <c r="C71" s="14"/>
      <c r="D71" s="15" t="s">
        <v>87</v>
      </c>
      <c r="E71" s="47">
        <v>12</v>
      </c>
      <c r="F71" s="16" t="s">
        <v>88</v>
      </c>
      <c r="G71" s="15">
        <v>9</v>
      </c>
      <c r="H71" s="89">
        <f t="shared" si="1"/>
        <v>211</v>
      </c>
      <c r="I71" s="12">
        <f t="shared" si="4"/>
        <v>219</v>
      </c>
    </row>
    <row r="72" spans="1:17" x14ac:dyDescent="0.3">
      <c r="A72" s="7" t="s">
        <v>95</v>
      </c>
      <c r="B72" s="14" t="s">
        <v>118</v>
      </c>
      <c r="C72" s="14"/>
      <c r="D72" s="22" t="s">
        <v>43</v>
      </c>
      <c r="E72" s="47">
        <v>13</v>
      </c>
      <c r="F72" s="16" t="s">
        <v>114</v>
      </c>
      <c r="G72" s="15">
        <v>1</v>
      </c>
      <c r="H72" s="89">
        <f t="shared" si="1"/>
        <v>220</v>
      </c>
      <c r="I72" s="12">
        <f t="shared" si="4"/>
        <v>220</v>
      </c>
    </row>
    <row r="73" spans="1:17" x14ac:dyDescent="0.3">
      <c r="A73" s="13" t="s">
        <v>119</v>
      </c>
      <c r="B73" s="14" t="s">
        <v>120</v>
      </c>
      <c r="C73" s="14"/>
      <c r="D73" s="15" t="s">
        <v>87</v>
      </c>
      <c r="E73" s="47">
        <v>14</v>
      </c>
      <c r="F73" s="16" t="s">
        <v>88</v>
      </c>
      <c r="G73" s="15">
        <v>9</v>
      </c>
      <c r="H73" s="89">
        <f t="shared" ref="H73:H99" si="5">I72+1</f>
        <v>221</v>
      </c>
      <c r="I73" s="12">
        <f t="shared" si="4"/>
        <v>229</v>
      </c>
    </row>
    <row r="74" spans="1:17" x14ac:dyDescent="0.3">
      <c r="A74" s="13" t="s">
        <v>121</v>
      </c>
      <c r="B74" s="14" t="s">
        <v>122</v>
      </c>
      <c r="C74" s="14"/>
      <c r="D74" s="22" t="s">
        <v>43</v>
      </c>
      <c r="E74" s="47">
        <v>15</v>
      </c>
      <c r="F74" s="16" t="s">
        <v>114</v>
      </c>
      <c r="G74" s="15">
        <v>1</v>
      </c>
      <c r="H74" s="89">
        <f t="shared" si="5"/>
        <v>230</v>
      </c>
      <c r="I74" s="12">
        <f t="shared" si="4"/>
        <v>230</v>
      </c>
    </row>
    <row r="75" spans="1:17" x14ac:dyDescent="0.3">
      <c r="A75" s="13" t="s">
        <v>123</v>
      </c>
      <c r="B75" s="14" t="s">
        <v>124</v>
      </c>
      <c r="C75" s="14"/>
      <c r="D75" s="15" t="s">
        <v>87</v>
      </c>
      <c r="E75" s="47">
        <v>16</v>
      </c>
      <c r="F75" s="16" t="s">
        <v>88</v>
      </c>
      <c r="G75" s="15">
        <v>9</v>
      </c>
      <c r="H75" s="89">
        <f t="shared" si="5"/>
        <v>231</v>
      </c>
      <c r="I75" s="12">
        <f t="shared" si="4"/>
        <v>239</v>
      </c>
    </row>
    <row r="76" spans="1:17" x14ac:dyDescent="0.3">
      <c r="A76" s="7"/>
      <c r="B76" s="14" t="s">
        <v>125</v>
      </c>
      <c r="C76" s="14"/>
      <c r="D76" s="22" t="s">
        <v>43</v>
      </c>
      <c r="E76" s="47">
        <v>17</v>
      </c>
      <c r="F76" s="16" t="s">
        <v>114</v>
      </c>
      <c r="G76" s="15">
        <v>1</v>
      </c>
      <c r="H76" s="89">
        <f t="shared" si="5"/>
        <v>240</v>
      </c>
      <c r="I76" s="12">
        <f t="shared" si="4"/>
        <v>240</v>
      </c>
    </row>
    <row r="77" spans="1:17" x14ac:dyDescent="0.3">
      <c r="A77" s="7"/>
      <c r="B77" s="14" t="s">
        <v>126</v>
      </c>
      <c r="C77" s="14"/>
      <c r="D77" s="15" t="s">
        <v>46</v>
      </c>
      <c r="E77" s="47">
        <v>18</v>
      </c>
      <c r="F77" s="16" t="s">
        <v>47</v>
      </c>
      <c r="G77" s="15">
        <v>8</v>
      </c>
      <c r="H77" s="89">
        <f t="shared" si="5"/>
        <v>241</v>
      </c>
      <c r="I77" s="12">
        <f t="shared" si="4"/>
        <v>248</v>
      </c>
    </row>
    <row r="78" spans="1:17" x14ac:dyDescent="0.3">
      <c r="A78" s="7"/>
      <c r="B78" s="14" t="s">
        <v>127</v>
      </c>
      <c r="C78" s="14"/>
      <c r="D78" s="15" t="s">
        <v>46</v>
      </c>
      <c r="E78" s="47">
        <v>19</v>
      </c>
      <c r="F78" s="16" t="s">
        <v>47</v>
      </c>
      <c r="G78" s="15">
        <v>8</v>
      </c>
      <c r="H78" s="89">
        <f t="shared" si="5"/>
        <v>249</v>
      </c>
      <c r="I78" s="12">
        <f t="shared" si="4"/>
        <v>256</v>
      </c>
    </row>
    <row r="79" spans="1:17" s="23" customFormat="1" ht="45" customHeight="1" x14ac:dyDescent="0.3">
      <c r="A79" s="27"/>
      <c r="B79" s="20" t="s">
        <v>128</v>
      </c>
      <c r="C79" s="21"/>
      <c r="D79" s="22" t="s">
        <v>97</v>
      </c>
      <c r="E79" s="48">
        <v>20</v>
      </c>
      <c r="F79" s="73" t="s">
        <v>129</v>
      </c>
      <c r="G79" s="22">
        <v>4</v>
      </c>
      <c r="H79" s="89">
        <f t="shared" si="5"/>
        <v>257</v>
      </c>
      <c r="I79" s="12">
        <f t="shared" si="4"/>
        <v>260</v>
      </c>
      <c r="K79" s="74"/>
      <c r="L79" s="60"/>
      <c r="M79" s="60"/>
      <c r="N79" s="60"/>
      <c r="O79" s="60"/>
      <c r="P79" s="60"/>
      <c r="Q79" s="60"/>
    </row>
    <row r="80" spans="1:17" s="23" customFormat="1" ht="30" customHeight="1" x14ac:dyDescent="0.3">
      <c r="A80" s="27"/>
      <c r="B80" s="20" t="s">
        <v>130</v>
      </c>
      <c r="C80" s="21"/>
      <c r="D80" s="22" t="s">
        <v>13</v>
      </c>
      <c r="E80" s="48">
        <v>21</v>
      </c>
      <c r="F80" s="73" t="s">
        <v>131</v>
      </c>
      <c r="G80" s="22">
        <v>40</v>
      </c>
      <c r="H80" s="89">
        <f t="shared" si="5"/>
        <v>261</v>
      </c>
      <c r="I80" s="12">
        <f t="shared" si="4"/>
        <v>300</v>
      </c>
      <c r="K80" s="60"/>
      <c r="L80" s="60"/>
      <c r="M80" s="60"/>
      <c r="N80" s="60"/>
      <c r="O80" s="60"/>
      <c r="P80" s="60"/>
      <c r="Q80" s="60"/>
    </row>
    <row r="81" spans="1:17" s="23" customFormat="1" ht="60" customHeight="1" x14ac:dyDescent="0.2">
      <c r="A81" s="27"/>
      <c r="B81" s="20" t="s">
        <v>132</v>
      </c>
      <c r="C81" s="28" t="s">
        <v>133</v>
      </c>
      <c r="D81" s="22" t="s">
        <v>97</v>
      </c>
      <c r="E81" s="48">
        <v>22</v>
      </c>
      <c r="F81" s="73" t="s">
        <v>134</v>
      </c>
      <c r="G81" s="22">
        <v>4</v>
      </c>
      <c r="H81" s="89">
        <f t="shared" si="5"/>
        <v>301</v>
      </c>
      <c r="I81" s="12">
        <f t="shared" si="4"/>
        <v>304</v>
      </c>
      <c r="K81" s="98" t="s">
        <v>135</v>
      </c>
      <c r="L81" s="98"/>
      <c r="M81" s="98"/>
      <c r="N81" s="98"/>
      <c r="O81" s="98"/>
      <c r="P81" s="98"/>
      <c r="Q81" s="98"/>
    </row>
    <row r="82" spans="1:17" s="23" customFormat="1" ht="30" customHeight="1" x14ac:dyDescent="0.2">
      <c r="A82" s="27"/>
      <c r="B82" s="20" t="s">
        <v>136</v>
      </c>
      <c r="C82" s="21"/>
      <c r="D82" s="22" t="s">
        <v>13</v>
      </c>
      <c r="E82" s="48">
        <v>23</v>
      </c>
      <c r="F82" s="73" t="s">
        <v>137</v>
      </c>
      <c r="G82" s="22">
        <v>40</v>
      </c>
      <c r="H82" s="89">
        <f t="shared" si="5"/>
        <v>305</v>
      </c>
      <c r="I82" s="12">
        <f t="shared" si="4"/>
        <v>344</v>
      </c>
      <c r="K82" s="98"/>
      <c r="L82" s="98"/>
      <c r="M82" s="98"/>
      <c r="N82" s="98"/>
      <c r="O82" s="98"/>
      <c r="P82" s="98"/>
      <c r="Q82" s="98"/>
    </row>
    <row r="83" spans="1:17" s="23" customFormat="1" ht="60" customHeight="1" x14ac:dyDescent="0.3">
      <c r="A83" s="27"/>
      <c r="B83" s="20" t="s">
        <v>138</v>
      </c>
      <c r="C83" s="21"/>
      <c r="D83" s="22" t="s">
        <v>139</v>
      </c>
      <c r="E83" s="45">
        <v>24</v>
      </c>
      <c r="F83" s="73" t="s">
        <v>140</v>
      </c>
      <c r="G83" s="22">
        <v>9</v>
      </c>
      <c r="H83" s="89">
        <f t="shared" si="5"/>
        <v>345</v>
      </c>
      <c r="I83" s="12">
        <f t="shared" si="4"/>
        <v>353</v>
      </c>
      <c r="K83" s="60" t="s">
        <v>141</v>
      </c>
      <c r="L83" s="58"/>
      <c r="M83" s="60"/>
      <c r="N83" s="59"/>
      <c r="O83" s="59"/>
      <c r="P83" s="59"/>
      <c r="Q83" s="59"/>
    </row>
    <row r="84" spans="1:17" s="23" customFormat="1" ht="30" customHeight="1" x14ac:dyDescent="0.2">
      <c r="A84" s="27"/>
      <c r="B84" s="20" t="s">
        <v>142</v>
      </c>
      <c r="C84" s="21"/>
      <c r="D84" s="22" t="s">
        <v>13</v>
      </c>
      <c r="E84" s="48">
        <v>25</v>
      </c>
      <c r="F84" s="73" t="s">
        <v>143</v>
      </c>
      <c r="G84" s="22">
        <v>40</v>
      </c>
      <c r="H84" s="89">
        <f t="shared" si="5"/>
        <v>354</v>
      </c>
      <c r="I84" s="12">
        <f t="shared" si="4"/>
        <v>393</v>
      </c>
      <c r="K84" s="57" t="s">
        <v>144</v>
      </c>
      <c r="L84" s="55" t="s">
        <v>145</v>
      </c>
      <c r="M84" s="55" t="s">
        <v>146</v>
      </c>
      <c r="N84" s="35" t="s">
        <v>136</v>
      </c>
      <c r="O84" s="55" t="s">
        <v>147</v>
      </c>
      <c r="P84" s="35" t="s">
        <v>142</v>
      </c>
      <c r="Q84" s="56" t="s">
        <v>7</v>
      </c>
    </row>
    <row r="85" spans="1:17" s="23" customFormat="1" x14ac:dyDescent="0.2">
      <c r="A85" s="27"/>
      <c r="B85" s="80" t="s">
        <v>148</v>
      </c>
      <c r="C85" s="79"/>
      <c r="D85" s="76" t="s">
        <v>13</v>
      </c>
      <c r="E85" s="81">
        <v>26</v>
      </c>
      <c r="F85" s="75" t="s">
        <v>149</v>
      </c>
      <c r="G85" s="76">
        <v>20</v>
      </c>
      <c r="H85" s="93">
        <f t="shared" si="5"/>
        <v>394</v>
      </c>
      <c r="I85" s="82">
        <f t="shared" si="4"/>
        <v>413</v>
      </c>
      <c r="J85" s="83"/>
      <c r="K85" s="76" t="s">
        <v>150</v>
      </c>
      <c r="L85" s="76" t="s">
        <v>151</v>
      </c>
      <c r="M85" s="77"/>
      <c r="N85" s="78"/>
      <c r="O85" s="78"/>
      <c r="P85" s="78"/>
      <c r="Q85" s="79" t="s">
        <v>152</v>
      </c>
    </row>
    <row r="86" spans="1:17" s="23" customFormat="1" x14ac:dyDescent="0.3">
      <c r="A86" s="27"/>
      <c r="B86" s="30" t="s">
        <v>153</v>
      </c>
      <c r="C86" s="20"/>
      <c r="D86" s="22" t="s">
        <v>97</v>
      </c>
      <c r="E86" s="48">
        <v>27</v>
      </c>
      <c r="F86" s="73" t="s">
        <v>154</v>
      </c>
      <c r="G86" s="22">
        <v>4</v>
      </c>
      <c r="H86" s="89">
        <f t="shared" si="5"/>
        <v>414</v>
      </c>
      <c r="I86" s="12">
        <f t="shared" si="4"/>
        <v>417</v>
      </c>
      <c r="K86" s="15" t="s">
        <v>155</v>
      </c>
      <c r="L86" s="15" t="s">
        <v>151</v>
      </c>
      <c r="M86" s="62"/>
      <c r="N86" s="63"/>
      <c r="O86" s="64">
        <v>60</v>
      </c>
      <c r="P86" s="64" t="s">
        <v>156</v>
      </c>
      <c r="Q86" s="14" t="s">
        <v>157</v>
      </c>
    </row>
    <row r="87" spans="1:17" s="23" customFormat="1" x14ac:dyDescent="0.3">
      <c r="A87" s="27"/>
      <c r="B87" s="30" t="s">
        <v>158</v>
      </c>
      <c r="C87" s="20"/>
      <c r="D87" s="22" t="s">
        <v>97</v>
      </c>
      <c r="E87" s="48">
        <v>28</v>
      </c>
      <c r="F87" s="73" t="s">
        <v>159</v>
      </c>
      <c r="G87" s="22">
        <v>4</v>
      </c>
      <c r="H87" s="89">
        <f t="shared" si="5"/>
        <v>418</v>
      </c>
      <c r="I87" s="12">
        <f t="shared" si="4"/>
        <v>421</v>
      </c>
      <c r="K87" s="15" t="s">
        <v>160</v>
      </c>
      <c r="L87" s="15" t="s">
        <v>161</v>
      </c>
      <c r="M87" s="62"/>
      <c r="N87" s="62"/>
      <c r="O87" s="15">
        <v>1000</v>
      </c>
      <c r="P87" s="15" t="s">
        <v>162</v>
      </c>
      <c r="Q87" s="14" t="s">
        <v>163</v>
      </c>
    </row>
    <row r="88" spans="1:17" s="23" customFormat="1" x14ac:dyDescent="0.3">
      <c r="A88" s="27"/>
      <c r="B88" s="30" t="s">
        <v>164</v>
      </c>
      <c r="C88" s="20"/>
      <c r="D88" s="15" t="s">
        <v>139</v>
      </c>
      <c r="E88" s="48">
        <v>29</v>
      </c>
      <c r="F88" s="73" t="s">
        <v>165</v>
      </c>
      <c r="G88" s="22">
        <v>9</v>
      </c>
      <c r="H88" s="89">
        <f t="shared" si="5"/>
        <v>422</v>
      </c>
      <c r="I88" s="12">
        <f t="shared" si="4"/>
        <v>430</v>
      </c>
      <c r="K88" s="15" t="s">
        <v>166</v>
      </c>
      <c r="L88" s="15" t="s">
        <v>151</v>
      </c>
      <c r="M88" s="15">
        <v>50</v>
      </c>
      <c r="N88" s="15" t="s">
        <v>156</v>
      </c>
      <c r="O88" s="15">
        <v>3</v>
      </c>
      <c r="P88" s="15" t="s">
        <v>167</v>
      </c>
      <c r="Q88" s="14" t="s">
        <v>168</v>
      </c>
    </row>
    <row r="89" spans="1:17" s="23" customFormat="1" x14ac:dyDescent="0.3">
      <c r="A89" s="27"/>
      <c r="B89" s="30" t="s">
        <v>169</v>
      </c>
      <c r="C89" s="20"/>
      <c r="D89" s="15" t="s">
        <v>170</v>
      </c>
      <c r="E89" s="48">
        <v>30</v>
      </c>
      <c r="F89" s="73" t="s">
        <v>171</v>
      </c>
      <c r="G89" s="22">
        <v>10</v>
      </c>
      <c r="H89" s="89">
        <f t="shared" si="5"/>
        <v>431</v>
      </c>
      <c r="I89" s="12">
        <f t="shared" si="4"/>
        <v>440</v>
      </c>
      <c r="K89" s="15" t="s">
        <v>172</v>
      </c>
      <c r="L89" s="15" t="s">
        <v>151</v>
      </c>
      <c r="M89" s="15">
        <v>50</v>
      </c>
      <c r="N89" s="15" t="s">
        <v>173</v>
      </c>
      <c r="O89" s="15">
        <v>12</v>
      </c>
      <c r="P89" s="15" t="s">
        <v>174</v>
      </c>
      <c r="Q89" s="14" t="s">
        <v>175</v>
      </c>
    </row>
    <row r="90" spans="1:17" s="23" customFormat="1" x14ac:dyDescent="0.3">
      <c r="A90" s="27"/>
      <c r="B90" s="30" t="s">
        <v>176</v>
      </c>
      <c r="C90" s="20"/>
      <c r="D90" s="15" t="s">
        <v>170</v>
      </c>
      <c r="E90" s="48">
        <v>31</v>
      </c>
      <c r="F90" s="73" t="s">
        <v>177</v>
      </c>
      <c r="G90" s="22">
        <v>10</v>
      </c>
      <c r="H90" s="89">
        <f t="shared" si="5"/>
        <v>441</v>
      </c>
      <c r="I90" s="12">
        <f t="shared" si="4"/>
        <v>450</v>
      </c>
      <c r="K90" s="15" t="s">
        <v>178</v>
      </c>
      <c r="L90" s="15" t="s">
        <v>179</v>
      </c>
      <c r="M90" s="15">
        <v>300</v>
      </c>
      <c r="N90" s="15" t="s">
        <v>151</v>
      </c>
      <c r="O90" s="15">
        <v>40</v>
      </c>
      <c r="P90" s="15" t="s">
        <v>180</v>
      </c>
      <c r="Q90" s="14" t="s">
        <v>181</v>
      </c>
    </row>
    <row r="91" spans="1:17" s="23" customFormat="1" ht="345" customHeight="1" x14ac:dyDescent="0.2">
      <c r="A91" s="27"/>
      <c r="B91" s="29" t="s">
        <v>182</v>
      </c>
      <c r="C91" s="21" t="s">
        <v>12</v>
      </c>
      <c r="D91" s="22" t="s">
        <v>97</v>
      </c>
      <c r="E91" s="48">
        <v>32</v>
      </c>
      <c r="F91" s="72" t="s">
        <v>183</v>
      </c>
      <c r="G91" s="22">
        <v>2</v>
      </c>
      <c r="H91" s="89">
        <f t="shared" si="5"/>
        <v>451</v>
      </c>
      <c r="I91" s="12">
        <f t="shared" si="4"/>
        <v>452</v>
      </c>
    </row>
    <row r="92" spans="1:17" x14ac:dyDescent="0.3">
      <c r="B92" s="16" t="s">
        <v>76</v>
      </c>
      <c r="C92" s="16"/>
      <c r="D92" s="31" t="s">
        <v>13</v>
      </c>
      <c r="E92" s="47">
        <v>33</v>
      </c>
      <c r="F92" s="16" t="s">
        <v>184</v>
      </c>
      <c r="G92" s="15">
        <v>255</v>
      </c>
      <c r="H92" s="89">
        <f t="shared" si="5"/>
        <v>453</v>
      </c>
      <c r="I92" s="12">
        <f t="shared" si="4"/>
        <v>707</v>
      </c>
    </row>
    <row r="93" spans="1:17" x14ac:dyDescent="0.3">
      <c r="A93" s="25"/>
      <c r="B93" s="16" t="s">
        <v>185</v>
      </c>
      <c r="C93" s="16"/>
      <c r="D93" s="31" t="s">
        <v>170</v>
      </c>
      <c r="E93" s="47">
        <v>34</v>
      </c>
      <c r="F93" s="16" t="s">
        <v>186</v>
      </c>
      <c r="G93" s="15">
        <v>50</v>
      </c>
      <c r="H93" s="89">
        <f t="shared" si="5"/>
        <v>708</v>
      </c>
      <c r="I93" s="12">
        <f t="shared" si="4"/>
        <v>757</v>
      </c>
    </row>
    <row r="94" spans="1:17" x14ac:dyDescent="0.3">
      <c r="B94" s="14" t="s">
        <v>187</v>
      </c>
      <c r="C94" s="14"/>
      <c r="D94" s="15" t="s">
        <v>13</v>
      </c>
      <c r="E94" s="47">
        <v>35</v>
      </c>
      <c r="F94" s="16" t="s">
        <v>188</v>
      </c>
      <c r="G94" s="15">
        <v>30</v>
      </c>
      <c r="H94" s="89">
        <f t="shared" si="5"/>
        <v>758</v>
      </c>
      <c r="I94" s="12">
        <f t="shared" si="4"/>
        <v>787</v>
      </c>
    </row>
    <row r="95" spans="1:17" x14ac:dyDescent="0.3">
      <c r="A95" s="25"/>
      <c r="B95" s="11" t="s">
        <v>189</v>
      </c>
      <c r="C95" s="11"/>
      <c r="D95" s="32" t="s">
        <v>13</v>
      </c>
      <c r="E95" s="47">
        <v>36</v>
      </c>
      <c r="F95" s="11" t="s">
        <v>190</v>
      </c>
      <c r="G95" s="15">
        <v>30</v>
      </c>
      <c r="H95" s="89">
        <f t="shared" si="5"/>
        <v>788</v>
      </c>
      <c r="I95" s="12">
        <f t="shared" si="4"/>
        <v>817</v>
      </c>
    </row>
    <row r="96" spans="1:17" x14ac:dyDescent="0.3">
      <c r="A96" s="25"/>
      <c r="B96" s="11" t="s">
        <v>191</v>
      </c>
      <c r="C96" s="11"/>
      <c r="D96" s="32" t="s">
        <v>13</v>
      </c>
      <c r="E96" s="47">
        <v>37</v>
      </c>
      <c r="F96" s="11" t="s">
        <v>192</v>
      </c>
      <c r="G96" s="15">
        <v>30</v>
      </c>
      <c r="H96" s="89">
        <f t="shared" si="5"/>
        <v>818</v>
      </c>
      <c r="I96" s="12">
        <f t="shared" si="4"/>
        <v>847</v>
      </c>
    </row>
    <row r="97" spans="1:11" x14ac:dyDescent="0.3">
      <c r="A97" s="25"/>
      <c r="B97" s="11" t="s">
        <v>193</v>
      </c>
      <c r="C97" s="11"/>
      <c r="D97" s="32" t="s">
        <v>13</v>
      </c>
      <c r="E97" s="47">
        <v>38</v>
      </c>
      <c r="F97" s="11" t="s">
        <v>194</v>
      </c>
      <c r="G97" s="15">
        <v>30</v>
      </c>
      <c r="H97" s="89">
        <f t="shared" si="5"/>
        <v>848</v>
      </c>
      <c r="I97" s="12">
        <f t="shared" si="4"/>
        <v>877</v>
      </c>
    </row>
    <row r="98" spans="1:11" x14ac:dyDescent="0.3">
      <c r="A98" s="25"/>
      <c r="B98" s="14" t="s">
        <v>195</v>
      </c>
      <c r="C98" s="11"/>
      <c r="D98" s="32" t="s">
        <v>13</v>
      </c>
      <c r="E98" s="47">
        <v>39</v>
      </c>
      <c r="F98" s="11" t="s">
        <v>196</v>
      </c>
      <c r="G98" s="15">
        <v>30</v>
      </c>
      <c r="H98" s="89">
        <f t="shared" si="5"/>
        <v>878</v>
      </c>
      <c r="I98" s="12">
        <f t="shared" si="4"/>
        <v>907</v>
      </c>
    </row>
    <row r="99" spans="1:11" x14ac:dyDescent="0.3">
      <c r="A99" s="7"/>
      <c r="B99" s="87" t="s">
        <v>197</v>
      </c>
      <c r="C99" s="87"/>
      <c r="D99" s="95" t="s">
        <v>13</v>
      </c>
      <c r="E99" s="54">
        <v>40</v>
      </c>
      <c r="F99" s="87" t="s">
        <v>198</v>
      </c>
      <c r="G99" s="18">
        <v>20</v>
      </c>
      <c r="H99" s="90">
        <f t="shared" si="5"/>
        <v>908</v>
      </c>
      <c r="I99" s="40">
        <f t="shared" si="4"/>
        <v>927</v>
      </c>
    </row>
    <row r="100" spans="1:11" x14ac:dyDescent="0.3">
      <c r="A100" s="41"/>
      <c r="B100" s="96"/>
      <c r="C100" s="96"/>
      <c r="D100" s="41"/>
      <c r="E100" s="41"/>
      <c r="F100" s="41"/>
      <c r="G100" s="41"/>
      <c r="H100" s="97"/>
      <c r="I100" s="97"/>
    </row>
    <row r="101" spans="1:11" s="58" customFormat="1" x14ac:dyDescent="0.3">
      <c r="A101" s="59"/>
      <c r="B101" s="60"/>
      <c r="C101" s="60"/>
      <c r="D101" s="59"/>
      <c r="E101" s="59"/>
      <c r="F101" s="59"/>
      <c r="G101" s="59"/>
      <c r="H101" s="61"/>
      <c r="I101" s="61"/>
    </row>
    <row r="102" spans="1:11" x14ac:dyDescent="0.3">
      <c r="H102" s="61"/>
      <c r="I102" s="61"/>
    </row>
    <row r="103" spans="1:11" x14ac:dyDescent="0.3">
      <c r="H103" s="61"/>
      <c r="I103" s="61"/>
    </row>
    <row r="104" spans="1:11" x14ac:dyDescent="0.3">
      <c r="H104" s="61"/>
      <c r="I104" s="61"/>
    </row>
    <row r="105" spans="1:11" x14ac:dyDescent="0.3">
      <c r="H105" s="61"/>
      <c r="I105" s="61"/>
    </row>
    <row r="106" spans="1:11" x14ac:dyDescent="0.3">
      <c r="H106" s="61"/>
      <c r="I106" s="61"/>
    </row>
    <row r="107" spans="1:11" x14ac:dyDescent="0.3">
      <c r="H107" s="61"/>
      <c r="I107" s="61"/>
    </row>
    <row r="108" spans="1:11" x14ac:dyDescent="0.3">
      <c r="H108" s="61"/>
      <c r="I108" s="61"/>
    </row>
    <row r="109" spans="1:11" x14ac:dyDescent="0.3">
      <c r="H109" s="65"/>
      <c r="I109" s="65"/>
      <c r="K109" s="1"/>
    </row>
    <row r="110" spans="1:11" x14ac:dyDescent="0.3">
      <c r="H110" s="33"/>
      <c r="I110" s="33"/>
      <c r="K110" s="1"/>
    </row>
    <row r="111" spans="1:11" x14ac:dyDescent="0.3">
      <c r="K111" s="1"/>
    </row>
    <row r="112" spans="1:11" x14ac:dyDescent="0.3">
      <c r="K112" s="1"/>
    </row>
    <row r="113" spans="11:11" x14ac:dyDescent="0.3">
      <c r="K113" s="1"/>
    </row>
    <row r="114" spans="11:11" x14ac:dyDescent="0.3">
      <c r="K114" s="1"/>
    </row>
    <row r="115" spans="11:11" x14ac:dyDescent="0.3">
      <c r="K115" s="1"/>
    </row>
  </sheetData>
  <mergeCells count="2">
    <mergeCell ref="K81:Q82"/>
    <mergeCell ref="B2:G4"/>
  </mergeCells>
  <phoneticPr fontId="0" type="noConversion"/>
  <printOptions horizontalCentered="1"/>
  <pageMargins left="0.38" right="0.23622047244094491" top="0.36" bottom="0.37" header="0.51181102362204722" footer="0.32"/>
  <pageSetup paperSize="9" scale="73" fitToHeight="0"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faeb436-3a31-4024-9e86-0f4dca2ccec2">
      <Terms xmlns="http://schemas.microsoft.com/office/infopath/2007/PartnerControls"/>
    </lcf76f155ced4ddcb4097134ff3c332f>
    <TaxCatchAll xmlns="5dfecb89-e6d8-47f6-be2b-038fb37b7bf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AA4EAA9C54B24DAF5535810938265A" ma:contentTypeVersion="13" ma:contentTypeDescription="Crée un document." ma:contentTypeScope="" ma:versionID="561ab7d89edc890e8ab661a9250b2c75">
  <xsd:schema xmlns:xsd="http://www.w3.org/2001/XMLSchema" xmlns:xs="http://www.w3.org/2001/XMLSchema" xmlns:p="http://schemas.microsoft.com/office/2006/metadata/properties" xmlns:ns2="1faeb436-3a31-4024-9e86-0f4dca2ccec2" xmlns:ns3="5dfecb89-e6d8-47f6-be2b-038fb37b7bfe" targetNamespace="http://schemas.microsoft.com/office/2006/metadata/properties" ma:root="true" ma:fieldsID="af300391ec21c7adfb19c4110e1f6351" ns2:_="" ns3:_="">
    <xsd:import namespace="1faeb436-3a31-4024-9e86-0f4dca2ccec2"/>
    <xsd:import namespace="5dfecb89-e6d8-47f6-be2b-038fb37b7b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aeb436-3a31-4024-9e86-0f4dca2cce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54995b74-c26a-4b27-b590-f8cadbfa433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fecb89-e6d8-47f6-be2b-038fb37b7bf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8fab158-a5bc-4fb5-b2ff-b10a8fe06ccb}" ma:internalName="TaxCatchAll" ma:showField="CatchAllData" ma:web="5dfecb89-e6d8-47f6-be2b-038fb37b7b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FC0A10-9EFD-4B6C-9C86-D4ED38E446F2}">
  <ds:schemaRefs>
    <ds:schemaRef ds:uri="http://schemas.microsoft.com/office/2006/metadata/properties"/>
    <ds:schemaRef ds:uri="http://schemas.microsoft.com/office/infopath/2007/PartnerControls"/>
    <ds:schemaRef ds:uri="1faeb436-3a31-4024-9e86-0f4dca2ccec2"/>
    <ds:schemaRef ds:uri="5dfecb89-e6d8-47f6-be2b-038fb37b7bfe"/>
  </ds:schemaRefs>
</ds:datastoreItem>
</file>

<file path=customXml/itemProps2.xml><?xml version="1.0" encoding="utf-8"?>
<ds:datastoreItem xmlns:ds="http://schemas.openxmlformats.org/officeDocument/2006/customXml" ds:itemID="{D3BF4A83-EB99-422E-BBFC-94346151B938}"/>
</file>

<file path=customXml/itemProps3.xml><?xml version="1.0" encoding="utf-8"?>
<ds:datastoreItem xmlns:ds="http://schemas.openxmlformats.org/officeDocument/2006/customXml" ds:itemID="{EBE692D9-395B-4D0A-BB23-25E5860D6E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matrice</vt:lpstr>
      <vt:lpstr>matrice!Zone_d_impression</vt:lpstr>
    </vt:vector>
  </TitlesOfParts>
  <Manager/>
  <Company>STOCK-IT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Poste1</dc:creator>
  <cp:keywords/>
  <dc:description/>
  <cp:lastModifiedBy>Gwenael GERGAUD</cp:lastModifiedBy>
  <cp:revision/>
  <dcterms:created xsi:type="dcterms:W3CDTF">2002-11-28T14:41:31Z</dcterms:created>
  <dcterms:modified xsi:type="dcterms:W3CDTF">2025-12-01T16:48:12Z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0x01010095AA4EAA9C54B24DAF5535810938265A</vt:lpwstr>
  </property>
  <property fmtid="{D5CDD505-2E9C-101B-9397-08002B2CF9AE}" pid="3" name="MediaServiceImageTags">
    <vt:lpwstr/>
  </property>
</Properties>
</file>